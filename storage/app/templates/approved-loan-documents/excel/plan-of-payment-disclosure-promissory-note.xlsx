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an Information" sheetId="1" r:id="rId4"/>
    <sheet name="Plan of Payment" sheetId="2" r:id="rId5"/>
    <sheet name="Disclosure Statement" sheetId="3" r:id="rId6"/>
    <sheet name="Promissory Note" sheetId="4" r:id="rId7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User</author>
  </authors>
  <commentList>
    <comment ref="B17" authorId="0">
      <text>
        <r>
          <t xml:space="preserve">User:
(1) Daily (2) Weekly (3) Semi-monthly (4) Monthly (4) Lump-sum
</t>
        </r>
      </text>
    </comment>
    <comment ref="D17" authorId="0">
      <text>
        <r>
          <t xml:space="preserve">User:
Input the data from reference for Plan of Payment under payment method</t>
        </r>
      </text>
    </comment>
  </commentList>
</comments>
</file>

<file path=xl/sharedStrings.xml><?xml version="1.0" encoding="utf-8"?>
<sst xmlns="http://schemas.openxmlformats.org/spreadsheetml/2006/main" uniqueCount="197">
  <si>
    <t>LOAN INFORMATION SHEET</t>
  </si>
  <si>
    <t>A. FOR DISCLOSURE STATEMENT</t>
  </si>
  <si>
    <t>Name of Borrower</t>
  </si>
  <si>
    <t>JANET O. SARCEDA</t>
  </si>
  <si>
    <t>Employer</t>
  </si>
  <si>
    <t>DEP-ED</t>
  </si>
  <si>
    <t>Input Data</t>
  </si>
  <si>
    <t>Address</t>
  </si>
  <si>
    <t>P-1A POB, BAROBO, SDS</t>
  </si>
  <si>
    <t>Loan Approved</t>
  </si>
  <si>
    <t>Interest Rate (Per Annum)</t>
  </si>
  <si>
    <t>Term of Loan (# of months)</t>
  </si>
  <si>
    <t>Service Charge</t>
  </si>
  <si>
    <t>Interest Not Deducted</t>
  </si>
  <si>
    <t>No Input Data</t>
  </si>
  <si>
    <t>Certified Correct</t>
  </si>
  <si>
    <t>VELINA P. GAMUTAN</t>
  </si>
  <si>
    <t>Position</t>
  </si>
  <si>
    <t>BOOKKEEPER</t>
  </si>
  <si>
    <t>Kind of Loan</t>
  </si>
  <si>
    <t>SALARY LOAN</t>
  </si>
  <si>
    <t>Mode of Payment</t>
  </si>
  <si>
    <t>MONTHLY</t>
  </si>
  <si>
    <t>Loan Manager</t>
  </si>
  <si>
    <t>ANNABELLE M. AMORA</t>
  </si>
  <si>
    <t>Insurance Term(Max 12)</t>
  </si>
  <si>
    <t>Insurance Rate</t>
  </si>
  <si>
    <t>DO NOT INPUT ANYTHING</t>
  </si>
  <si>
    <t>Insurance Premium</t>
  </si>
  <si>
    <t>Loan Security</t>
  </si>
  <si>
    <t>Doc. Stamps</t>
  </si>
  <si>
    <t>Notarial</t>
  </si>
  <si>
    <t>Amortization:</t>
  </si>
  <si>
    <t>Reference Data For Plan of Payment:</t>
  </si>
  <si>
    <t xml:space="preserve">                    Principal</t>
  </si>
  <si>
    <t>Daily</t>
  </si>
  <si>
    <t>Weekly</t>
  </si>
  <si>
    <t xml:space="preserve">                    Interest</t>
  </si>
  <si>
    <t xml:space="preserve">                                    </t>
  </si>
  <si>
    <t xml:space="preserve">                    Savings (2%)</t>
  </si>
  <si>
    <t>Semi-monthly</t>
  </si>
  <si>
    <t>Monthly</t>
  </si>
  <si>
    <t xml:space="preserve">                    TOTAL:</t>
  </si>
  <si>
    <t>B. FOR PROMISSORY NOTE</t>
  </si>
  <si>
    <t>Co-Borrower 1</t>
  </si>
  <si>
    <t>ELMA C. ANTONIANO</t>
  </si>
  <si>
    <t>Co-Borrower 2</t>
  </si>
  <si>
    <t>CYRENE M. RONQUILLO</t>
  </si>
  <si>
    <t>Co-Borrower 1 Address</t>
  </si>
  <si>
    <t>P-4 POB, BAROBO, SDS</t>
  </si>
  <si>
    <t>Co-Borrower Address</t>
  </si>
  <si>
    <t>Term of Loan (# of days)</t>
  </si>
  <si>
    <t>Amount of Loan (in words)</t>
  </si>
  <si>
    <t>FIFTY THOUSAND PESOS ONLY.</t>
  </si>
  <si>
    <t>Int. Rate (word and #)</t>
  </si>
  <si>
    <t>TWENTY FOUR PERCENT (24%)</t>
  </si>
  <si>
    <t>Payable Every (in words)</t>
  </si>
  <si>
    <t>No. of Amortization</t>
  </si>
  <si>
    <t xml:space="preserve">                                        </t>
  </si>
  <si>
    <t>Penalty Per Month</t>
  </si>
  <si>
    <t>Sign in the presence of 1</t>
  </si>
  <si>
    <t>KEYRIN B.LULAB</t>
  </si>
  <si>
    <t>Sign in the presence of 2</t>
  </si>
  <si>
    <t>Date</t>
  </si>
  <si>
    <t>PLAN OF PAYMENT</t>
  </si>
  <si>
    <t>Name</t>
  </si>
  <si>
    <t>:</t>
  </si>
  <si>
    <t>Amount of Loan</t>
  </si>
  <si>
    <t>MODE OF PAYMENT</t>
  </si>
  <si>
    <t>Principal:</t>
  </si>
  <si>
    <t>Interest:</t>
  </si>
  <si>
    <t>Loan Security:</t>
  </si>
  <si>
    <t>Total:</t>
  </si>
  <si>
    <t>Starting:</t>
  </si>
  <si>
    <t>Ending:</t>
  </si>
  <si>
    <t>CONFORME:</t>
  </si>
  <si>
    <t>APPROVED:</t>
  </si>
  <si>
    <t>Signature of Borrower</t>
  </si>
  <si>
    <t>DISCLOSURE STATEMENT ON LOAN/CREDIT TRANSACTION</t>
  </si>
  <si>
    <t>(As Required Under R.A. 3765 Truth In Lending Act)</t>
  </si>
  <si>
    <t>NAME OF BORROWER:</t>
  </si>
  <si>
    <t>LOAN NUMBER</t>
  </si>
  <si>
    <t>ADDRESS:</t>
  </si>
  <si>
    <t>LOAN GRANTED (Amount to be financed)</t>
  </si>
  <si>
    <t>(Php)</t>
  </si>
  <si>
    <t>( A )</t>
  </si>
  <si>
    <t>FINANCE CHARGES</t>
  </si>
  <si>
    <t>Not Deducted</t>
  </si>
  <si>
    <t>Deducted</t>
  </si>
  <si>
    <t>From</t>
  </si>
  <si>
    <t>Proceeds of Loan</t>
  </si>
  <si>
    <t>a.</t>
  </si>
  <si>
    <t>Interest</t>
  </si>
  <si>
    <t>% p.a. From</t>
  </si>
  <si>
    <t>To</t>
  </si>
  <si>
    <t>P</t>
  </si>
  <si>
    <t>(     )</t>
  </si>
  <si>
    <t>Single</t>
  </si>
  <si>
    <t>(               )</t>
  </si>
  <si>
    <t>Compound</t>
  </si>
  <si>
    <t>Quarterly</t>
  </si>
  <si>
    <t>Semi-Annual</t>
  </si>
  <si>
    <t>Semi-Monthly</t>
  </si>
  <si>
    <t>Annual</t>
  </si>
  <si>
    <t>Lump-sum</t>
  </si>
  <si>
    <t>b.</t>
  </si>
  <si>
    <t>Premium Charges</t>
  </si>
  <si>
    <t>(      %    )</t>
  </si>
  <si>
    <t>c.</t>
  </si>
  <si>
    <t>Commitment Fee</t>
  </si>
  <si>
    <t>d.</t>
  </si>
  <si>
    <t>Guarantee Fee</t>
  </si>
  <si>
    <t>e.</t>
  </si>
  <si>
    <t>Other Charges Incidental To The Extension of Credit</t>
  </si>
  <si>
    <t>(Specify)</t>
  </si>
  <si>
    <t>Service Charge At</t>
  </si>
  <si>
    <t>TOTAL FINANCE CHARGES</t>
  </si>
  <si>
    <t>( B )</t>
  </si>
  <si>
    <t>NON FINANCE CHARGES</t>
  </si>
  <si>
    <t>a. Insurance Premium</t>
  </si>
  <si>
    <t>b. Loan Security</t>
  </si>
  <si>
    <t>c. Documentary Stamps</t>
  </si>
  <si>
    <t>d. Notarial Fees</t>
  </si>
  <si>
    <t>e. Others:</t>
  </si>
  <si>
    <t>TOTAL NON FINANCE CHARGES</t>
  </si>
  <si>
    <t>( C )</t>
  </si>
  <si>
    <t>TOTAL DEDUCTIONS FROM PROCEEDS OF LOAN (B + C)</t>
  </si>
  <si>
    <t>( D )</t>
  </si>
  <si>
    <t>NET PROCEEDS OF LOAN (A LESS D)</t>
  </si>
  <si>
    <t>( E )</t>
  </si>
  <si>
    <t>PERCENTAGE OF FINANCE CHARGES TO TOTAL AMOUNT FINANCED</t>
  </si>
  <si>
    <t>(Computed in accordance with (Method of Computations in accordance with Sec. 2 (1) of CB Circular 158)</t>
  </si>
  <si>
    <t>%</t>
  </si>
  <si>
    <t>EFFECTIVE INTEREST RATE</t>
  </si>
  <si>
    <t>% p.a.</t>
  </si>
  <si>
    <t>SCHEDULE OF PAYMENT</t>
  </si>
  <si>
    <t>a. Single Payment Due On</t>
  </si>
  <si>
    <t>b. Total Installment Payment</t>
  </si>
  <si>
    <t>Payable in</t>
  </si>
  <si>
    <t>months/quarter/years</t>
  </si>
  <si>
    <t>COLLATERAL</t>
  </si>
  <si>
    <t>This loan is wholly/partly secured by:</t>
  </si>
  <si>
    <t>Check/s</t>
  </si>
  <si>
    <t>Chattels</t>
  </si>
  <si>
    <t>(    )</t>
  </si>
  <si>
    <t>Government Securities</t>
  </si>
  <si>
    <t>Real Estate</t>
  </si>
  <si>
    <t>Unsecured</t>
  </si>
  <si>
    <t>ADDITIONAL CHARGES IN CASE CERTAIN STIPULATIONS ARE NOT MET BY THE BORROWER</t>
  </si>
  <si>
    <t>CERTIFIED CORRECT:</t>
  </si>
  <si>
    <t>Signature Over Printed Name</t>
  </si>
  <si>
    <t xml:space="preserve">I ACKNOWLEDGE RECEIPT OF A COPY OF THE STATEMENT PRIOR TO THE CONSUMMATION OF THE CREDIT TRANSACTION AND CERTIFY </t>
  </si>
  <si>
    <t>THAT I UNDERSTAND AND FULLY AGREE TO THE TERMS AND CONDITIONS THEREOF.</t>
  </si>
  <si>
    <t>DATE:</t>
  </si>
  <si>
    <t>Signature of Borrower Over Printed Name</t>
  </si>
  <si>
    <t>NOTICE TO BORROWER: YOU ARE ENTITLED TO A COPY OF THE PAPER WHICH YOU SHALL SIGN.</t>
  </si>
  <si>
    <t>PROMISSORY NOTE</t>
  </si>
  <si>
    <t>Date Granted:</t>
  </si>
  <si>
    <t>Date Due:</t>
  </si>
  <si>
    <t xml:space="preserve">Amount:      </t>
  </si>
  <si>
    <t>days after date for value received,   I/we promise to pay jointly and severally to the order of  MICROFINANCE FOR RURAL</t>
  </si>
  <si>
    <t>DEVELOPMENT INC. the sum of</t>
  </si>
  <si>
    <t>Philippine Currency with an interest rate of</t>
  </si>
  <si>
    <t>per annum. Amortization/Installment payment of</t>
  </si>
  <si>
    <t>inclusive of interest every</t>
  </si>
  <si>
    <t>starting</t>
  </si>
  <si>
    <t>to</t>
  </si>
  <si>
    <t xml:space="preserve">for </t>
  </si>
  <si>
    <t>Amortization/Installment payment.</t>
  </si>
  <si>
    <r>
      <t xml:space="preserve">In case I/we </t>
    </r>
    <r>
      <rPr>
        <rFont val="Calibri"/>
        <b val="true"/>
        <i val="false"/>
        <strike val="false"/>
        <color rgb="FF000000"/>
        <sz val="10"/>
        <u val="none"/>
      </rPr>
      <t xml:space="preserve">fail to pay this note on any of the amortization installments payments when due</t>
    </r>
    <r>
      <rPr>
        <rFont val="Calibri"/>
        <b val="false"/>
        <i val="false"/>
        <strike val="false"/>
        <color rgb="FF000000"/>
        <sz val="10"/>
        <u val="none"/>
      </rPr>
      <t xml:space="preserve">,   I/we further agree to pay a penalty</t>
    </r>
  </si>
  <si>
    <t>of 5% per month of any unpaid arrears starting from the date of default.</t>
  </si>
  <si>
    <t>In case of defect, fraud or misrepresentation in the application of this loan or violation of any of the terms of the loan evidenced by</t>
  </si>
  <si>
    <t>this note the entire outstanding balance shall immediately become due and demandable.</t>
  </si>
  <si>
    <t>I/We hereby agree and authorize MICROFINANCE FOR RURAL DEVELOPMENT INC. to encumber, assign or sell to any person or entity</t>
  </si>
  <si>
    <t>any right which may have under this note and/or any assignment, mortgage lien, pledge or other encumbrances constituted in favor</t>
  </si>
  <si>
    <t>of MICROFINANCE FOR RURAL DEVELOPMENT INC. pursuant to the provision of the loan agreement and this note if any. The consent</t>
  </si>
  <si>
    <t>herein granted is recognized and acknowledge by me/us as a waiver to all intents and purpose of whatever right I/We may have to</t>
  </si>
  <si>
    <t>notice of actual encumbrance are assignment.</t>
  </si>
  <si>
    <t>I/We further agree that in case of prepayment of the loan,  MICROFINANCE FOR RURAL DEVELOPMENT INC.  is not under any legal</t>
  </si>
  <si>
    <t>obligations to return the interest corresponding to the period from date of prepayment to the stipulated maturity date of the loan.</t>
  </si>
  <si>
    <t>Any repayment made should not therefore affect the computation of the interest rate stipulated herein.</t>
  </si>
  <si>
    <t>In case of judicial enforcement of this obligation or any part of it.  I/We waived all my/our right under the provision of   Rule 39</t>
  </si>
  <si>
    <t>Section 12 of the Rules of Court and I/We  and my/our co-maker(s) and encloser(s) shall pay jointly and severally ten percent(10%)</t>
  </si>
  <si>
    <t>of the amount due on the note as attorney's fees, which in no case shall be less than FIVE HUNDRED PESOS(500.00) exclusive of all</t>
  </si>
  <si>
    <t>cost and fees allowed by law.</t>
  </si>
  <si>
    <t>In case that I/We shall retire from employment anytime I/We hereby waived and relinquish in favor of MICROFINANCE FOR RURAL</t>
  </si>
  <si>
    <t xml:space="preserve">DEVELOPMENT INC. from and out of my/our retirement benefits, gratuity and all other benefits due to me/us from the institution </t>
  </si>
  <si>
    <t>such amount equivalient to my/our Outstanding Loan Balance under this note including the interest and other charges. I/We hereby</t>
  </si>
  <si>
    <t>obligate myself/ourselves to give a written notice to MICROFINANCE FOR RURAL DEVELOPMENT INC. within (7) days after my/our</t>
  </si>
  <si>
    <t>retirement.</t>
  </si>
  <si>
    <t>DEMAND AND DISHONOR WAIVED Holder may accept partial payment reserving his right of recourse against each and all endorsers.</t>
  </si>
  <si>
    <t>(SIGN OVER PRINTED NAME)</t>
  </si>
  <si>
    <t>Borrower</t>
  </si>
  <si>
    <t>Co-borrower 1</t>
  </si>
  <si>
    <t>Co-borrower 2</t>
  </si>
  <si>
    <t>Address:</t>
  </si>
  <si>
    <t>Sign In The Presence Of</t>
  </si>
</sst>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&quot;₱&quot;#,##0.00"/>
    <numFmt numFmtId="166" formatCode="_-&quot;₱&quot;* #,##0.00_-;\-&quot;₱&quot;* #,##0.00_-;_-&quot;₱&quot;* &quot;-&quot;??_-;_-@_-"/>
  </numFmts>
  <fonts count="1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4"/>
      <color rgb="FF000000"/>
      <name val="Bodoni MT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single"/>
      <sz val="8"/>
      <color rgb="FF000000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C0C0C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9"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1" numFmtId="0" fillId="2" borderId="1" applyFont="1" applyNumberFormat="0" applyFill="0" applyBorder="1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1" numFmtId="0" fillId="2" borderId="2" applyFont="1" applyNumberFormat="0" applyFill="0" applyBorder="1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2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1" numFmtId="0" fillId="2" borderId="3" applyFont="1" applyNumberFormat="0" applyFill="0" applyBorder="1" applyAlignment="0" applyProtection="true">
      <protection hidden="false"/>
    </xf>
    <xf xfId="0" fontId="2" numFmtId="0" fillId="2" borderId="0" applyFont="1" applyNumberFormat="0" applyFill="0" applyBorder="0" applyAlignment="0" applyProtection="true">
      <protection hidden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3" numFmtId="0" fillId="2" borderId="4" applyFont="1" applyNumberFormat="0" applyFill="0" applyBorder="1" applyAlignment="0" applyProtection="true">
      <protection hidden="false"/>
    </xf>
    <xf xfId="0" fontId="0" numFmtId="0" fillId="2" borderId="4" applyFont="0" applyNumberFormat="0" applyFill="0" applyBorder="1" applyAlignment="0" applyProtection="true">
      <protection hidden="false"/>
    </xf>
    <xf xfId="0" fontId="0" numFmtId="0" fillId="2" borderId="5" applyFont="0" applyNumberFormat="0" applyFill="0" applyBorder="1" applyAlignment="0" applyProtection="true">
      <protection hidden="false"/>
    </xf>
    <xf xfId="0" fontId="1" numFmtId="0" fillId="2" borderId="6" applyFont="1" applyNumberFormat="0" applyFill="0" applyBorder="1" applyAlignment="0" applyProtection="true">
      <protection hidden="false"/>
    </xf>
    <xf xfId="0" fontId="1" numFmtId="0" fillId="3" borderId="0" applyFont="1" applyNumberFormat="0" applyFill="1" applyBorder="0" applyAlignment="0" applyProtection="true">
      <protection hidden="false"/>
    </xf>
    <xf xfId="0" fontId="1" numFmtId="0" fillId="3" borderId="7" applyFont="1" applyNumberFormat="0" applyFill="1" applyBorder="1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9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0" fillId="2" borderId="8" applyFont="1" applyNumberFormat="0" applyFill="0" applyBorder="1" applyAlignment="0" applyProtection="true">
      <protection hidden="false"/>
    </xf>
    <xf xfId="0" fontId="4" numFmtId="0" fillId="2" borderId="1" applyFont="1" applyNumberFormat="0" applyFill="0" applyBorder="1" applyAlignment="0" applyProtection="true">
      <protection hidden="false"/>
    </xf>
    <xf xfId="0" fontId="5" numFmtId="0" fillId="2" borderId="1" applyFont="1" applyNumberFormat="0" applyFill="0" applyBorder="1" applyAlignment="0" applyProtection="true">
      <protection hidden="false"/>
    </xf>
    <xf xfId="0" fontId="6" numFmtId="164" fillId="2" borderId="2" applyFont="1" applyNumberFormat="1" applyFill="0" applyBorder="1" applyAlignment="0" applyProtection="true">
      <protection hidden="false"/>
    </xf>
    <xf xfId="0" fontId="5" numFmtId="164" fillId="2" borderId="1" applyFont="1" applyNumberFormat="1" applyFill="0" applyBorder="1" applyAlignment="0" applyProtection="true">
      <protection hidden="false"/>
    </xf>
    <xf xfId="0" fontId="5" numFmtId="164" fillId="2" borderId="2" applyFont="1" applyNumberFormat="1" applyFill="0" applyBorder="1" applyAlignment="0" applyProtection="true">
      <protection hidden="false"/>
    </xf>
    <xf xfId="0" fontId="5" numFmtId="0" fillId="2" borderId="2" applyFont="1" applyNumberFormat="0" applyFill="0" applyBorder="1" applyAlignment="0" applyProtection="true">
      <protection hidden="false"/>
    </xf>
    <xf xfId="0" fontId="6" numFmtId="164" fillId="2" borderId="1" applyFont="1" applyNumberFormat="1" applyFill="0" applyBorder="1" applyAlignment="0" applyProtection="true">
      <protection hidden="false"/>
    </xf>
    <xf xfId="0" fontId="6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6" numFmtId="164" fillId="2" borderId="1" applyFont="1" applyNumberFormat="1" applyFill="0" applyBorder="1" applyAlignment="0" applyProtection="true">
      <protection hidden="false"/>
    </xf>
    <xf xfId="0" fontId="6" numFmtId="9" fillId="2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7" numFmtId="164" fillId="2" borderId="2" applyFont="1" applyNumberFormat="1" applyFill="0" applyBorder="1" applyAlignment="0" applyProtection="true">
      <protection hidden="false"/>
    </xf>
    <xf xfId="0" fontId="7" numFmtId="164" fillId="2" borderId="2" applyFont="1" applyNumberFormat="1" applyFill="0" applyBorder="1" applyAlignment="0" applyProtection="true">
      <protection hidden="false"/>
    </xf>
    <xf xfId="0" fontId="8" numFmtId="0" fillId="2" borderId="0" applyFont="1" applyNumberFormat="0" applyFill="0" applyBorder="0" applyAlignment="0" applyProtection="true">
      <protection hidden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8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1" applyFont="0" applyNumberFormat="0" applyFill="0" applyBorder="1" applyAlignment="0" applyProtection="true">
      <protection hidden="false"/>
    </xf>
    <xf xfId="0" fontId="0" numFmtId="164" fillId="2" borderId="0" applyFont="0" applyNumberFormat="1" applyFill="0" applyBorder="0" applyAlignment="0" applyProtection="true">
      <protection hidden="false"/>
    </xf>
    <xf xfId="0" fontId="0" numFmtId="164" fillId="2" borderId="2" applyFont="0" applyNumberFormat="1" applyFill="0" applyBorder="1" applyAlignment="0" applyProtection="true">
      <protection hidden="false"/>
    </xf>
    <xf xfId="0" fontId="3" numFmtId="164" fillId="2" borderId="2" applyFont="1" applyNumberFormat="1" applyFill="0" applyBorder="1" applyAlignment="0" applyProtection="true">
      <protection hidden="false"/>
    </xf>
    <xf xfId="0" fontId="7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9" applyFont="0" applyNumberFormat="0" applyFill="0" applyBorder="1" applyAlignment="0" applyProtection="true">
      <protection hidden="false"/>
    </xf>
    <xf xfId="0" fontId="0" numFmtId="0" fillId="2" borderId="10" applyFont="0" applyNumberFormat="0" applyFill="0" applyBorder="1" applyAlignment="0" applyProtection="true">
      <protection hidden="false"/>
    </xf>
    <xf xfId="0" fontId="7" numFmtId="0" fillId="2" borderId="1" applyFont="1" applyNumberFormat="0" applyFill="0" applyBorder="1" applyAlignment="0" applyProtection="true">
      <protection hidden="false"/>
    </xf>
    <xf xfId="0" fontId="8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1" numFmtId="0" fillId="3" borderId="0" applyFont="1" applyNumberFormat="0" applyFill="1" applyBorder="0" applyAlignment="0" applyProtection="true">
      <protection hidden="false"/>
    </xf>
    <xf xfId="0" fontId="3" numFmtId="0" fillId="2" borderId="11" applyFont="1" applyNumberFormat="0" applyFill="0" applyBorder="1" applyAlignment="0" applyProtection="true">
      <protection hidden="false"/>
    </xf>
    <xf xfId="0" fontId="1" numFmtId="0" fillId="2" borderId="4" applyFont="1" applyNumberFormat="0" applyFill="0" applyBorder="1" applyAlignment="0" applyProtection="true">
      <protection hidden="false"/>
    </xf>
    <xf xfId="0" fontId="1" numFmtId="0" fillId="2" borderId="5" applyFont="1" applyNumberFormat="0" applyFill="0" applyBorder="1" applyAlignment="0" applyProtection="true">
      <protection hidden="false"/>
    </xf>
    <xf xfId="0" fontId="1" numFmtId="0" fillId="3" borderId="12" applyFont="1" applyNumberFormat="0" applyFill="1" applyBorder="1" applyAlignment="0" applyProtection="true">
      <protection hidden="false"/>
    </xf>
    <xf xfId="0" fontId="1" numFmtId="0" fillId="2" borderId="12" applyFont="1" applyNumberFormat="0" applyFill="0" applyBorder="1" applyAlignment="0" applyProtection="true">
      <protection hidden="false"/>
    </xf>
    <xf xfId="0" fontId="1" numFmtId="0" fillId="3" borderId="13" applyFont="1" applyNumberFormat="0" applyFill="1" applyBorder="1" applyAlignment="0" applyProtection="true">
      <protection hidden="false"/>
    </xf>
    <xf xfId="0" fontId="3" numFmtId="0" fillId="2" borderId="1" applyFont="1" applyNumberFormat="0" applyFill="0" applyBorder="1" applyAlignment="0" applyProtection="true">
      <protection hidden="false"/>
    </xf>
    <xf xfId="0" fontId="0" numFmtId="0" fillId="2" borderId="1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0" numFmtId="0" fillId="2" borderId="2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0" numFmtId="0" fillId="2" borderId="12" applyFont="0" applyNumberFormat="0" applyFill="0" applyBorder="1" applyAlignment="0" applyProtection="true">
      <protection hidden="false"/>
    </xf>
    <xf xfId="0" fontId="0" numFmtId="0" fillId="2" borderId="14" applyFont="0" applyNumberFormat="0" applyFill="0" applyBorder="1" applyAlignment="0" applyProtection="true">
      <protection hidden="false"/>
    </xf>
    <xf xfId="0" fontId="0" numFmtId="0" fillId="2" borderId="3" applyFont="0" applyNumberFormat="0" applyFill="0" applyBorder="1" applyAlignment="0" applyProtection="true">
      <protection hidden="false"/>
    </xf>
    <xf xfId="0" fontId="0" numFmtId="0" fillId="2" borderId="15" applyFont="0" applyNumberFormat="0" applyFill="0" applyBorder="1" applyAlignment="0" applyProtection="true">
      <protection hidden="false"/>
    </xf>
    <xf xfId="0" fontId="0" numFmtId="0" fillId="2" borderId="16" applyFont="0" applyNumberFormat="0" applyFill="0" applyBorder="1" applyAlignment="0" applyProtection="true"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17" applyFont="0" applyNumberFormat="0" applyFill="0" applyBorder="1" applyAlignment="0" applyProtection="true">
      <protection hidden="false"/>
    </xf>
    <xf xfId="0" fontId="0" numFmtId="0" fillId="2" borderId="2" applyFont="0" applyNumberFormat="0" applyFill="0" applyBorder="1" applyAlignment="0" applyProtection="true">
      <protection hidden="false"/>
    </xf>
    <xf xfId="0" fontId="8" numFmtId="164" fillId="2" borderId="2" applyFont="1" applyNumberFormat="1" applyFill="0" applyBorder="1" applyAlignment="0" applyProtection="true">
      <protection hidden="false"/>
    </xf>
    <xf xfId="0" fontId="0" numFmtId="165" fillId="2" borderId="2" applyFont="0" applyNumberFormat="1" applyFill="0" applyBorder="1" applyAlignment="1" applyProtection="true">
      <alignment horizontal="left" vertical="bottom" textRotation="0" wrapText="false" shrinkToFit="false"/>
      <protection hidden="false"/>
    </xf>
    <xf xfId="0" fontId="6" numFmtId="9" fillId="2" borderId="1" applyFont="1" applyNumberFormat="1" applyFill="0" applyBorder="1" applyAlignment="1" applyProtection="true">
      <alignment horizontal="left" vertical="bottom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0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0" numFmtId="165" fillId="2" borderId="2" applyFont="0" applyNumberFormat="1" applyFill="0" applyBorder="1" applyAlignment="1" applyProtection="true">
      <alignment horizontal="left" vertical="bottom" textRotation="0" wrapText="false" shrinkToFit="false"/>
      <protection hidden="false"/>
    </xf>
    <xf xfId="0" fontId="3" numFmtId="164" fillId="2" borderId="0" applyFont="1" applyNumberFormat="1" applyFill="0" applyBorder="0" applyAlignment="0" applyProtection="true">
      <protection hidden="false"/>
    </xf>
    <xf xfId="0" fontId="0" numFmtId="0" fillId="2" borderId="2" applyFont="0" applyNumberFormat="0" applyFill="0" applyBorder="1" applyAlignment="0" applyProtection="true">
      <protection hidden="false"/>
    </xf>
    <xf xfId="0" fontId="5" numFmtId="0" fillId="2" borderId="1" applyFont="1" applyNumberFormat="0" applyFill="0" applyBorder="1" applyAlignment="1" applyProtection="true">
      <alignment horizontal="right" vertical="bottom" textRotation="0" wrapText="false" shrinkToFit="false"/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4" borderId="0" applyFont="1" applyNumberFormat="0" applyFill="1" applyBorder="0" applyAlignment="0" applyProtection="true">
      <protection hidden="false"/>
    </xf>
    <xf xfId="0" fontId="1" numFmtId="0" fillId="4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0" fillId="4" borderId="12" applyFont="1" applyNumberFormat="0" applyFill="1" applyBorder="1" applyAlignment="0" applyProtection="true">
      <protection hidden="false"/>
    </xf>
    <xf xfId="0" fontId="1" numFmtId="0" fillId="4" borderId="12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0" fillId="4" borderId="0" applyFont="1" applyNumberFormat="0" applyFill="1" applyBorder="0" applyAlignment="0" applyProtection="true">
      <protection hidden="false"/>
    </xf>
    <xf xfId="0" fontId="1" numFmtId="1" fillId="4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1" numFmtId="0" fillId="5" borderId="0" applyFont="1" applyNumberFormat="0" applyFill="1" applyBorder="0" applyAlignment="0" applyProtection="true">
      <protection hidden="false"/>
    </xf>
    <xf xfId="0" fontId="1" numFmtId="164" fillId="5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1" numFmtId="0" fillId="5" borderId="7" applyFont="1" applyNumberFormat="0" applyFill="1" applyBorder="1" applyAlignment="0" applyProtection="true">
      <protection hidden="false"/>
    </xf>
    <xf xfId="0" fontId="1" numFmtId="164" fillId="5" borderId="0" applyFont="1" applyNumberFormat="1" applyFill="1" applyBorder="0" applyAlignment="0" applyProtection="true">
      <protection hidden="false"/>
    </xf>
    <xf xfId="0" fontId="1" numFmtId="164" fillId="5" borderId="0" applyFont="1" applyNumberFormat="1" applyFill="1" applyBorder="0" applyAlignment="0" applyProtection="true">
      <protection hidden="false"/>
    </xf>
    <xf xfId="0" fontId="1" numFmtId="0" fillId="5" borderId="12" applyFont="1" applyNumberFormat="0" applyFill="1" applyBorder="1" applyAlignment="0" applyProtection="true">
      <protection hidden="false"/>
    </xf>
    <xf xfId="0" fontId="1" numFmtId="164" fillId="5" borderId="12" applyFont="1" applyNumberFormat="1" applyFill="1" applyBorder="1" applyAlignment="0" applyProtection="true">
      <protection hidden="false"/>
    </xf>
    <xf xfId="0" fontId="1" numFmtId="0" fillId="5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0" fillId="6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0" fillId="6" borderId="0" applyFont="1" applyNumberFormat="0" applyFill="1" applyBorder="0" applyAlignment="0" applyProtection="true">
      <protection hidden="false"/>
    </xf>
    <xf xfId="0" fontId="1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2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3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2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0" numFmtId="0" fillId="2" borderId="1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2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1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1" numFmtId="0" fillId="2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12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20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164" fillId="2" borderId="2" applyFont="0" applyNumberFormat="1" applyFill="0" applyBorder="1" applyAlignment="1" applyProtection="true">
      <alignment horizontal="left" vertical="bottom" textRotation="0" wrapText="false" shrinkToFit="false"/>
      <protection hidden="false"/>
    </xf>
    <xf xfId="0" fontId="0" numFmtId="166" fillId="2" borderId="1" applyFont="0" applyNumberFormat="1" applyFill="0" applyBorder="1" applyAlignment="1" applyProtection="true">
      <alignment horizontal="left" vertical="bottom" textRotation="0" wrapText="false" shrinkToFit="false"/>
      <protection hidden="false"/>
    </xf>
    <xf xfId="0" fontId="3" numFmtId="166" fillId="2" borderId="2" applyFont="1" applyNumberFormat="1" applyFill="0" applyBorder="1" applyAlignment="1" applyProtection="true">
      <alignment horizontal="left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3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5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9" fillId="2" borderId="2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6" numFmtId="0" fillId="2" borderId="1" applyFont="1" applyNumberFormat="0" applyFill="0" applyBorder="1" applyAlignment="1" applyProtection="true">
      <alignment horizontal="right" vertical="bottom" textRotation="0" wrapText="false" shrinkToFit="false"/>
      <protection hidden="false"/>
    </xf>
    <xf xfId="0" fontId="7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7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8" numFmtId="0" fillId="2" borderId="3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6" numFmtId="9" fillId="2" borderId="2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6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6" numFmtId="164" fillId="2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43"/>
  <sheetViews>
    <sheetView tabSelected="1" workbookViewId="0" showGridLines="false" showRowColHeaders="1">
      <pane xSplit="8" ySplit="6" activePane="bottomRight" state="frozen" topLeftCell="I34"/>
      <selection pane="bottomRight" activeCell="G53" sqref="G53"/>
    </sheetView>
  </sheetViews>
  <sheetFormatPr customHeight="true" defaultRowHeight="15" outlineLevelRow="0" outlineLevelCol="0"/>
  <cols>
    <col min="1" max="1" width="5.28515625" customWidth="true" style="0"/>
    <col min="2" max="2" width="18.28515625" customWidth="true" style="0"/>
    <col min="3" max="3" width="9.5703125" customWidth="true" style="0"/>
    <col min="4" max="4" width="9.85546875" customWidth="true" style="0"/>
    <col min="8" max="8" width="10.85546875" customWidth="true" style="0"/>
  </cols>
  <sheetData>
    <row r="5" spans="1:12" customHeight="1" ht="16.5">
      <c r="A5" s="104" t="s">
        <v>0</v>
      </c>
      <c r="B5" s="104"/>
      <c r="C5" s="104"/>
      <c r="D5" s="104"/>
      <c r="E5" s="104"/>
      <c r="F5" s="104"/>
      <c r="G5" s="104"/>
      <c r="H5" s="104"/>
      <c r="I5" s="104"/>
    </row>
    <row r="6" spans="1:12" customHeight="1" ht="15">
      <c r="A6" s="16" t="s">
        <v>1</v>
      </c>
      <c r="B6" s="16"/>
      <c r="C6" s="17"/>
      <c r="D6" s="17"/>
      <c r="E6" s="17"/>
      <c r="F6" s="17"/>
      <c r="G6" s="17"/>
      <c r="H6" s="18"/>
    </row>
    <row r="7" spans="1:12" customHeight="1" ht="15">
      <c r="A7" s="19">
        <v>1</v>
      </c>
      <c r="B7" s="20" t="s">
        <v>2</v>
      </c>
      <c r="C7" s="6" t="s">
        <v>3</v>
      </c>
      <c r="D7" s="6"/>
      <c r="E7" s="53" t="s">
        <v>4</v>
      </c>
      <c r="F7" s="6" t="s">
        <v>5</v>
      </c>
      <c r="G7" s="6"/>
      <c r="H7" s="21" t="s">
        <v>6</v>
      </c>
      <c r="I7" s="1"/>
      <c r="J7" s="1"/>
      <c r="K7" s="1"/>
      <c r="L7" s="1"/>
    </row>
    <row r="8" spans="1:12" customHeight="1" ht="15">
      <c r="A8" s="19">
        <v>2</v>
      </c>
      <c r="B8" s="20" t="s">
        <v>7</v>
      </c>
      <c r="C8" s="6" t="s">
        <v>8</v>
      </c>
      <c r="D8" s="6"/>
      <c r="E8" s="6"/>
      <c r="F8" s="6"/>
      <c r="G8" s="6"/>
      <c r="H8" s="21" t="s">
        <v>6</v>
      </c>
      <c r="I8" s="1"/>
      <c r="J8" s="1"/>
      <c r="K8" s="1"/>
      <c r="L8" s="1"/>
    </row>
    <row r="9" spans="1:12" customHeight="1" ht="15">
      <c r="A9" s="19">
        <v>3</v>
      </c>
      <c r="B9" s="20" t="s">
        <v>9</v>
      </c>
      <c r="C9" s="22">
        <v>200000</v>
      </c>
      <c r="D9" s="6"/>
      <c r="E9" s="6"/>
      <c r="F9" s="6"/>
      <c r="G9" s="6"/>
      <c r="H9" s="21" t="s">
        <v>6</v>
      </c>
      <c r="I9" s="1"/>
      <c r="J9" s="1"/>
      <c r="K9" s="1"/>
      <c r="L9" s="1"/>
    </row>
    <row r="10" spans="1:12" customHeight="1" ht="15">
      <c r="A10" s="19">
        <v>4</v>
      </c>
      <c r="B10" s="20" t="s">
        <v>10</v>
      </c>
      <c r="C10" s="23">
        <v>0.36</v>
      </c>
      <c r="D10" s="42"/>
      <c r="E10" s="42"/>
      <c r="F10" s="6"/>
      <c r="G10" s="6"/>
      <c r="H10" s="21" t="s">
        <v>6</v>
      </c>
      <c r="I10" s="1"/>
      <c r="J10" s="1"/>
      <c r="K10" s="1"/>
      <c r="L10" s="1"/>
    </row>
    <row r="11" spans="1:12" customHeight="1" ht="15">
      <c r="A11" s="19">
        <v>5</v>
      </c>
      <c r="B11" s="20" t="s">
        <v>11</v>
      </c>
      <c r="C11" s="24">
        <v>12</v>
      </c>
      <c r="D11" s="6"/>
      <c r="E11" s="6"/>
      <c r="F11" s="6"/>
      <c r="G11" s="6"/>
      <c r="H11" s="21" t="s">
        <v>6</v>
      </c>
      <c r="I11" s="1"/>
      <c r="J11" s="1"/>
      <c r="K11" s="1"/>
      <c r="L11" s="1"/>
    </row>
    <row r="12" spans="1:12" customHeight="1" ht="15">
      <c r="A12" s="19">
        <v>6</v>
      </c>
      <c r="B12" s="20" t="s">
        <v>12</v>
      </c>
      <c r="C12" s="23">
        <v>0.05</v>
      </c>
      <c r="D12" s="6"/>
      <c r="E12" s="6"/>
      <c r="F12" s="6"/>
      <c r="G12" s="6"/>
      <c r="H12" s="21" t="s">
        <v>6</v>
      </c>
      <c r="I12" s="1"/>
      <c r="J12" s="1"/>
      <c r="K12" s="1"/>
      <c r="L12" s="1"/>
    </row>
    <row r="13" spans="1:12" customHeight="1" ht="15">
      <c r="A13" s="19">
        <v>7</v>
      </c>
      <c r="B13" s="94" t="s">
        <v>13</v>
      </c>
      <c r="C13" s="95">
        <f>C9*C10/12*C11</f>
        <v>72000</v>
      </c>
      <c r="D13" s="94"/>
      <c r="E13" s="94"/>
      <c r="F13" s="94"/>
      <c r="G13" s="94"/>
      <c r="H13" s="96" t="s">
        <v>14</v>
      </c>
      <c r="I13" s="1"/>
      <c r="J13" s="1"/>
      <c r="K13" s="1"/>
      <c r="L13" s="1"/>
    </row>
    <row r="14" spans="1:12" customHeight="1" ht="15">
      <c r="A14" s="19">
        <v>8</v>
      </c>
      <c r="B14" s="20" t="s">
        <v>15</v>
      </c>
      <c r="C14" s="25" t="s">
        <v>16</v>
      </c>
      <c r="D14" s="6"/>
      <c r="E14" s="6"/>
      <c r="F14" s="6"/>
      <c r="G14" s="6"/>
      <c r="H14" s="21" t="s">
        <v>6</v>
      </c>
      <c r="I14" s="1"/>
      <c r="J14" s="1"/>
      <c r="K14" s="1"/>
      <c r="L14" s="1"/>
    </row>
    <row r="15" spans="1:12" customHeight="1" ht="15">
      <c r="A15" s="19">
        <v>9</v>
      </c>
      <c r="B15" s="20" t="s">
        <v>17</v>
      </c>
      <c r="C15" s="25" t="s">
        <v>18</v>
      </c>
      <c r="D15" s="6"/>
      <c r="E15" s="6"/>
      <c r="F15" s="6"/>
      <c r="G15" s="6"/>
      <c r="H15" s="21" t="s">
        <v>6</v>
      </c>
      <c r="I15" s="1"/>
      <c r="J15" s="83"/>
      <c r="K15" s="1"/>
      <c r="L15" s="1"/>
    </row>
    <row r="16" spans="1:12" customHeight="1" ht="15">
      <c r="A16" s="19">
        <v>10</v>
      </c>
      <c r="B16" s="20" t="s">
        <v>19</v>
      </c>
      <c r="C16" s="25" t="s">
        <v>20</v>
      </c>
      <c r="D16" s="6"/>
      <c r="E16" s="6"/>
      <c r="F16" s="6"/>
      <c r="G16" s="6"/>
      <c r="H16" s="21" t="s">
        <v>6</v>
      </c>
      <c r="I16" s="1"/>
      <c r="J16" s="78"/>
      <c r="K16" s="78"/>
      <c r="L16" s="1"/>
    </row>
    <row r="17" spans="1:12" customHeight="1" ht="15">
      <c r="A17" s="19">
        <v>11</v>
      </c>
      <c r="B17" s="20" t="s">
        <v>21</v>
      </c>
      <c r="C17" s="25" t="s">
        <v>22</v>
      </c>
      <c r="D17" s="77" t="s">
        <v>6</v>
      </c>
      <c r="E17" s="85">
        <v>12</v>
      </c>
      <c r="F17" s="6"/>
      <c r="G17" s="6"/>
      <c r="H17" s="21" t="s">
        <v>6</v>
      </c>
      <c r="I17" s="1"/>
      <c r="J17" s="78"/>
      <c r="K17" s="1"/>
      <c r="L17" s="1"/>
    </row>
    <row r="18" spans="1:12" customHeight="1" ht="15">
      <c r="A18" s="19">
        <v>12</v>
      </c>
      <c r="B18" s="20" t="s">
        <v>23</v>
      </c>
      <c r="C18" s="25" t="s">
        <v>24</v>
      </c>
      <c r="D18" s="6"/>
      <c r="E18" s="6"/>
      <c r="F18" s="6"/>
      <c r="G18" s="6"/>
      <c r="H18" s="21" t="s">
        <v>6</v>
      </c>
      <c r="I18" s="1"/>
      <c r="J18" s="1"/>
      <c r="K18" s="1"/>
      <c r="L18" s="1"/>
    </row>
    <row r="19" spans="1:12" customHeight="1" ht="15">
      <c r="A19" s="19">
        <v>13</v>
      </c>
      <c r="B19" s="20" t="s">
        <v>25</v>
      </c>
      <c r="C19" s="24">
        <v>12</v>
      </c>
      <c r="D19" s="6"/>
      <c r="E19" s="6"/>
      <c r="F19" s="6"/>
      <c r="G19" s="6"/>
      <c r="H19" s="21" t="s">
        <v>6</v>
      </c>
      <c r="I19" s="1"/>
      <c r="J19" s="78"/>
      <c r="K19" s="1"/>
      <c r="L19" s="1"/>
    </row>
    <row r="20" spans="1:12" customHeight="1" ht="15">
      <c r="A20" s="19">
        <v>14</v>
      </c>
      <c r="B20" s="20" t="s">
        <v>26</v>
      </c>
      <c r="C20" s="24">
        <v>1</v>
      </c>
      <c r="D20" s="6"/>
      <c r="E20" s="6"/>
      <c r="F20" s="6"/>
      <c r="G20" s="6"/>
      <c r="H20" s="21" t="s">
        <v>6</v>
      </c>
      <c r="I20" s="1"/>
      <c r="J20" s="1"/>
      <c r="K20" s="1"/>
      <c r="L20" s="83"/>
    </row>
    <row r="21" spans="1:12" customHeight="1" ht="15">
      <c r="A21" s="19"/>
      <c r="B21" s="94" t="s">
        <v>12</v>
      </c>
      <c r="C21" s="97">
        <f>C9*C12</f>
        <v>10000</v>
      </c>
      <c r="D21" s="94"/>
      <c r="E21" s="101" t="s">
        <v>27</v>
      </c>
      <c r="F21" s="94"/>
      <c r="G21" s="94"/>
      <c r="H21" s="96"/>
      <c r="I21" s="1"/>
      <c r="J21" s="1"/>
      <c r="K21" s="1"/>
      <c r="L21" s="1"/>
    </row>
    <row r="22" spans="1:12" customHeight="1" ht="15">
      <c r="A22" s="19"/>
      <c r="B22" s="94" t="s">
        <v>28</v>
      </c>
      <c r="C22" s="97">
        <f>C9/1000*C19*C20</f>
        <v>2400</v>
      </c>
      <c r="D22" s="94"/>
      <c r="E22" s="101" t="s">
        <v>27</v>
      </c>
      <c r="F22" s="94"/>
      <c r="G22" s="94"/>
      <c r="H22" s="96"/>
      <c r="I22" s="1"/>
      <c r="J22" s="1"/>
      <c r="K22" s="78"/>
      <c r="L22" s="83"/>
    </row>
    <row r="23" spans="1:12" customHeight="1" ht="15">
      <c r="A23" s="19"/>
      <c r="B23" s="94" t="s">
        <v>29</v>
      </c>
      <c r="C23" s="97">
        <f>C9*2%</f>
        <v>4000</v>
      </c>
      <c r="D23" s="94"/>
      <c r="E23" s="101" t="s">
        <v>27</v>
      </c>
      <c r="F23" s="94"/>
      <c r="G23" s="94"/>
      <c r="H23" s="96"/>
      <c r="I23" s="1"/>
      <c r="J23" s="1"/>
      <c r="K23" s="1"/>
      <c r="L23" s="1"/>
    </row>
    <row r="24" spans="1:12" customHeight="1" ht="15">
      <c r="A24" s="19"/>
      <c r="B24" s="94" t="s">
        <v>30</v>
      </c>
      <c r="C24" s="97">
        <f>C9*1.5/200</f>
        <v>1500</v>
      </c>
      <c r="D24" s="94"/>
      <c r="E24" s="101" t="s">
        <v>27</v>
      </c>
      <c r="F24" s="94"/>
      <c r="G24" s="94"/>
      <c r="H24" s="96"/>
      <c r="I24" s="1"/>
      <c r="J24" s="1"/>
      <c r="K24" s="1"/>
      <c r="L24" s="1"/>
    </row>
    <row r="25" spans="1:12" customHeight="1" ht="15">
      <c r="A25" s="19"/>
      <c r="B25" s="94" t="s">
        <v>31</v>
      </c>
      <c r="C25" s="98">
        <v>100</v>
      </c>
      <c r="D25" s="94"/>
      <c r="E25" s="101" t="s">
        <v>27</v>
      </c>
      <c r="F25" s="94"/>
      <c r="G25" s="94"/>
      <c r="H25" s="96"/>
      <c r="I25" s="1"/>
      <c r="J25" s="1"/>
      <c r="K25" s="1"/>
      <c r="L25" s="1"/>
    </row>
    <row r="26" spans="1:12" customHeight="1" ht="15">
      <c r="A26" s="19"/>
      <c r="B26" s="94" t="s">
        <v>32</v>
      </c>
      <c r="C26" s="94"/>
      <c r="D26" s="105" t="s">
        <v>33</v>
      </c>
      <c r="E26" s="105"/>
      <c r="F26" s="105"/>
      <c r="G26" s="105"/>
      <c r="H26" s="96" t="s">
        <v>14</v>
      </c>
      <c r="I26" s="1"/>
      <c r="J26" s="1"/>
      <c r="K26" s="1"/>
      <c r="L26" s="1"/>
    </row>
    <row r="27" spans="1:12" customHeight="1" ht="15">
      <c r="A27" s="19"/>
      <c r="B27" s="94" t="s">
        <v>34</v>
      </c>
      <c r="C27" s="97">
        <f>C9/E17</f>
        <v>16666.66666666666788</v>
      </c>
      <c r="D27" s="91" t="s">
        <v>35</v>
      </c>
      <c r="E27" s="88">
        <f>C11*21</f>
        <v>252</v>
      </c>
      <c r="F27" s="91" t="s">
        <v>36</v>
      </c>
      <c r="G27" s="93">
        <f>C11*30/7</f>
        <v>51.42857142857143</v>
      </c>
      <c r="H27" s="96" t="s">
        <v>14</v>
      </c>
      <c r="I27" s="1"/>
      <c r="J27" s="1"/>
      <c r="K27" s="1"/>
      <c r="L27" s="1"/>
    </row>
    <row r="28" spans="1:12" customHeight="1" ht="15">
      <c r="A28" s="19"/>
      <c r="B28" s="94" t="s">
        <v>37</v>
      </c>
      <c r="C28" s="97">
        <f>C13/E17</f>
        <v>6000</v>
      </c>
      <c r="D28" s="86"/>
      <c r="E28" s="87"/>
      <c r="F28" s="86" t="s">
        <v>38</v>
      </c>
      <c r="G28" s="86"/>
      <c r="H28" s="96" t="s">
        <v>14</v>
      </c>
      <c r="I28" s="1"/>
      <c r="J28" s="1"/>
      <c r="K28" s="1"/>
      <c r="L28" s="1"/>
    </row>
    <row r="29" spans="1:12" customHeight="1" ht="15">
      <c r="A29" s="19"/>
      <c r="B29" s="94" t="s">
        <v>39</v>
      </c>
      <c r="C29" s="97">
        <f>C27*2%</f>
        <v>333.33333333333337</v>
      </c>
      <c r="D29" s="92" t="s">
        <v>40</v>
      </c>
      <c r="E29" s="88">
        <f>C11*2</f>
        <v>24</v>
      </c>
      <c r="F29" s="92" t="s">
        <v>41</v>
      </c>
      <c r="G29" s="88">
        <f>C11*1</f>
        <v>12</v>
      </c>
      <c r="H29" s="96" t="s">
        <v>14</v>
      </c>
      <c r="I29" s="1"/>
      <c r="J29" s="1"/>
      <c r="K29" s="1"/>
      <c r="L29" s="1"/>
    </row>
    <row r="30" spans="1:12" customHeight="1" ht="15.75">
      <c r="A30" s="26"/>
      <c r="B30" s="99" t="s">
        <v>42</v>
      </c>
      <c r="C30" s="100">
        <f>SUM(C27:C29)</f>
        <v>23000</v>
      </c>
      <c r="D30" s="89"/>
      <c r="E30" s="90"/>
      <c r="F30" s="89"/>
      <c r="G30" s="89"/>
      <c r="H30" s="96" t="s">
        <v>14</v>
      </c>
      <c r="I30" s="1"/>
      <c r="J30" s="1"/>
      <c r="K30" s="1"/>
      <c r="L30" s="1"/>
    </row>
    <row r="31" spans="1:12" customHeight="1" ht="15">
      <c r="A31" s="54" t="s">
        <v>43</v>
      </c>
      <c r="B31" s="55"/>
      <c r="C31" s="55"/>
      <c r="D31" s="55"/>
      <c r="E31" s="55"/>
      <c r="F31" s="55"/>
      <c r="G31" s="55"/>
      <c r="H31" s="56"/>
      <c r="I31" s="1"/>
      <c r="J31" s="1"/>
      <c r="K31" s="1"/>
      <c r="L31" s="1"/>
    </row>
    <row r="32" spans="1:12" customHeight="1" ht="15">
      <c r="A32" s="19">
        <v>1</v>
      </c>
      <c r="B32" s="53" t="s">
        <v>44</v>
      </c>
      <c r="C32" s="6" t="s">
        <v>45</v>
      </c>
      <c r="D32" s="6"/>
      <c r="E32" s="6"/>
      <c r="F32" s="6"/>
      <c r="G32" s="6"/>
      <c r="H32" s="21" t="s">
        <v>6</v>
      </c>
      <c r="I32" s="1"/>
      <c r="J32" s="1"/>
      <c r="K32" s="1"/>
      <c r="L32" s="1"/>
    </row>
    <row r="33" spans="1:12" customHeight="1" ht="15">
      <c r="A33" s="19">
        <v>2</v>
      </c>
      <c r="B33" s="53" t="s">
        <v>46</v>
      </c>
      <c r="C33" s="6" t="s">
        <v>47</v>
      </c>
      <c r="D33" s="6"/>
      <c r="E33" s="6"/>
      <c r="F33" s="6"/>
      <c r="G33" s="6"/>
      <c r="H33" s="21" t="s">
        <v>6</v>
      </c>
      <c r="I33" s="1"/>
      <c r="J33" s="1"/>
      <c r="K33" s="1"/>
      <c r="L33" s="1"/>
    </row>
    <row r="34" spans="1:12" customHeight="1" ht="15">
      <c r="A34" s="19">
        <v>3</v>
      </c>
      <c r="B34" s="53" t="s">
        <v>48</v>
      </c>
      <c r="C34" s="6" t="s">
        <v>49</v>
      </c>
      <c r="D34" s="6"/>
      <c r="E34" s="6"/>
      <c r="F34" s="6"/>
      <c r="G34" s="6"/>
      <c r="H34" s="21" t="s">
        <v>6</v>
      </c>
      <c r="I34" s="1"/>
      <c r="J34" s="1"/>
      <c r="K34" s="1"/>
      <c r="L34" s="1"/>
    </row>
    <row r="35" spans="1:12" customHeight="1" ht="15">
      <c r="A35" s="19">
        <v>4</v>
      </c>
      <c r="B35" s="53" t="s">
        <v>50</v>
      </c>
      <c r="C35" s="6" t="s">
        <v>8</v>
      </c>
      <c r="D35" s="6"/>
      <c r="E35" s="6"/>
      <c r="F35" s="6"/>
      <c r="G35" s="6"/>
      <c r="H35" s="21" t="s">
        <v>6</v>
      </c>
      <c r="I35" s="1"/>
      <c r="J35" s="1"/>
      <c r="K35" s="1"/>
      <c r="L35" s="1"/>
    </row>
    <row r="36" spans="1:12" customHeight="1" ht="15">
      <c r="A36" s="19">
        <v>5</v>
      </c>
      <c r="B36" s="94" t="s">
        <v>51</v>
      </c>
      <c r="C36" s="102">
        <v>300</v>
      </c>
      <c r="D36" s="103"/>
      <c r="E36" s="103"/>
      <c r="F36" s="103"/>
      <c r="G36" s="103"/>
      <c r="H36" s="96" t="s">
        <v>14</v>
      </c>
      <c r="I36" s="1"/>
      <c r="J36" s="83"/>
      <c r="K36" s="1"/>
      <c r="L36" s="1"/>
    </row>
    <row r="37" spans="1:12" customHeight="1" ht="15">
      <c r="A37" s="19">
        <v>6</v>
      </c>
      <c r="B37" s="53" t="s">
        <v>52</v>
      </c>
      <c r="C37" s="6" t="s">
        <v>53</v>
      </c>
      <c r="D37" s="6"/>
      <c r="E37" s="6"/>
      <c r="F37" s="6"/>
      <c r="G37" s="6"/>
      <c r="H37" s="21" t="s">
        <v>6</v>
      </c>
      <c r="I37" s="1"/>
      <c r="J37" s="78"/>
      <c r="K37" s="1"/>
      <c r="L37" s="1"/>
    </row>
    <row r="38" spans="1:12" customHeight="1" ht="15">
      <c r="A38" s="19">
        <v>7</v>
      </c>
      <c r="B38" s="53" t="s">
        <v>54</v>
      </c>
      <c r="C38" s="6" t="s">
        <v>55</v>
      </c>
      <c r="D38" s="6"/>
      <c r="E38" s="6"/>
      <c r="F38" s="6"/>
      <c r="G38" s="6"/>
      <c r="H38" s="21" t="s">
        <v>6</v>
      </c>
      <c r="I38" s="1"/>
      <c r="J38" s="1"/>
      <c r="K38" s="1"/>
      <c r="L38" s="1"/>
    </row>
    <row r="39" spans="1:12" customHeight="1" ht="15">
      <c r="A39" s="19">
        <v>8</v>
      </c>
      <c r="B39" s="53" t="s">
        <v>56</v>
      </c>
      <c r="C39" s="6" t="s">
        <v>22</v>
      </c>
      <c r="D39" s="84"/>
      <c r="E39" s="24"/>
      <c r="F39" s="6"/>
      <c r="G39" s="6"/>
      <c r="H39" s="21" t="s">
        <v>6</v>
      </c>
      <c r="I39" s="1"/>
      <c r="J39" s="1"/>
      <c r="K39" s="1"/>
      <c r="L39" s="1"/>
    </row>
    <row r="40" spans="1:12" customHeight="1" ht="15">
      <c r="A40" s="19">
        <v>9</v>
      </c>
      <c r="B40" s="94" t="s">
        <v>57</v>
      </c>
      <c r="C40" s="102">
        <f>E17</f>
        <v>12</v>
      </c>
      <c r="D40" s="103"/>
      <c r="E40" s="103" t="s">
        <v>58</v>
      </c>
      <c r="F40" s="103"/>
      <c r="G40" s="103"/>
      <c r="H40" s="96" t="s">
        <v>14</v>
      </c>
      <c r="I40" s="1"/>
      <c r="J40" s="1"/>
      <c r="K40" s="1"/>
      <c r="L40" s="1"/>
    </row>
    <row r="41" spans="1:12" customHeight="1" ht="15">
      <c r="A41" s="19">
        <v>10</v>
      </c>
      <c r="B41" s="53" t="s">
        <v>59</v>
      </c>
      <c r="C41" s="23">
        <v>0.05</v>
      </c>
      <c r="D41" s="6"/>
      <c r="E41" s="6"/>
      <c r="F41" s="6"/>
      <c r="G41" s="6"/>
      <c r="H41" s="21" t="s">
        <v>6</v>
      </c>
      <c r="I41" s="1"/>
      <c r="J41" s="1"/>
      <c r="K41" s="1"/>
      <c r="L41" s="1"/>
    </row>
    <row r="42" spans="1:12" customHeight="1" ht="15">
      <c r="A42" s="19">
        <v>11</v>
      </c>
      <c r="B42" s="53" t="s">
        <v>60</v>
      </c>
      <c r="C42" s="6" t="s">
        <v>61</v>
      </c>
      <c r="D42" s="6"/>
      <c r="E42" s="6"/>
      <c r="F42" s="6"/>
      <c r="G42" s="6"/>
      <c r="H42" s="21" t="s">
        <v>6</v>
      </c>
      <c r="I42" s="1"/>
      <c r="J42" s="1"/>
      <c r="K42" s="1"/>
      <c r="L42" s="1"/>
    </row>
    <row r="43" spans="1:12" customHeight="1" ht="15.75">
      <c r="A43" s="26">
        <v>12</v>
      </c>
      <c r="B43" s="57" t="s">
        <v>62</v>
      </c>
      <c r="C43" s="58" t="s">
        <v>24</v>
      </c>
      <c r="D43" s="58"/>
      <c r="E43" s="58"/>
      <c r="F43" s="58"/>
      <c r="G43" s="58"/>
      <c r="H43" s="59" t="s">
        <v>6</v>
      </c>
      <c r="I43" s="1"/>
      <c r="J43" s="1"/>
      <c r="K43" s="1"/>
      <c r="L43" s="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5:I5"/>
    <mergeCell ref="D26:G26"/>
  </mergeCells>
  <printOptions gridLines="false" gridLinesSet="true"/>
  <pageMargins left="0.7" right="0.7" top="0.75" bottom="0.75" header="0.3" footer="0.3"/>
  <pageSetup paperSize="5" orientation="portrai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0"/>
  <sheetViews>
    <sheetView tabSelected="0" workbookViewId="0" showGridLines="false" showRowColHeaders="1">
      <selection activeCell="D9" sqref="D9:G9"/>
    </sheetView>
  </sheetViews>
  <sheetFormatPr customHeight="true" defaultRowHeight="15" outlineLevelRow="0" outlineLevelCol="0"/>
  <cols>
    <col min="4" max="4" width="12" customWidth="true" style="0"/>
  </cols>
  <sheetData>
    <row r="5" spans="1:9" customHeight="1" ht="15">
      <c r="G5" s="106"/>
      <c r="H5" s="106"/>
      <c r="I5" s="106"/>
    </row>
    <row r="6" spans="1:9" customHeight="1" ht="15">
      <c r="G6" s="107" t="s">
        <v>63</v>
      </c>
      <c r="H6" s="107"/>
      <c r="I6" s="107"/>
    </row>
    <row r="8" spans="1:9" customHeight="1" ht="15.75">
      <c r="B8" s="104" t="s">
        <v>64</v>
      </c>
      <c r="C8" s="104"/>
      <c r="D8" s="104"/>
      <c r="E8" s="104"/>
      <c r="F8" s="104"/>
      <c r="G8" s="104"/>
      <c r="H8" s="104"/>
    </row>
    <row r="9" spans="1:9" customHeight="1" ht="15">
      <c r="A9" t="s">
        <v>65</v>
      </c>
      <c r="C9" s="61" t="s">
        <v>66</v>
      </c>
      <c r="D9" s="109" t="str">
        <f>'Loan Information'!C7</f>
        <v>JANET O. SARCEDA</v>
      </c>
      <c r="E9" s="109"/>
      <c r="F9" s="109"/>
      <c r="G9" s="109"/>
    </row>
    <row r="10" spans="1:9" customHeight="1" ht="15">
      <c r="A10" t="s">
        <v>7</v>
      </c>
      <c r="C10" s="62" t="s">
        <v>66</v>
      </c>
      <c r="D10" s="108" t="str">
        <f>'Loan Information'!C8</f>
        <v>P-1A POB, BAROBO, SDS</v>
      </c>
      <c r="E10" s="108"/>
      <c r="F10" s="108"/>
      <c r="G10" s="108"/>
    </row>
    <row r="11" spans="1:9" customHeight="1" ht="15">
      <c r="A11" t="s">
        <v>67</v>
      </c>
      <c r="C11" s="62" t="s">
        <v>66</v>
      </c>
      <c r="D11" s="79">
        <f>'Loan Information'!C9</f>
        <v>200000</v>
      </c>
      <c r="E11" s="71"/>
      <c r="F11" s="70"/>
      <c r="G11" s="70"/>
    </row>
    <row r="12" spans="1:9" customHeight="1" ht="15">
      <c r="A12" t="s">
        <v>19</v>
      </c>
      <c r="C12" s="62" t="s">
        <v>66</v>
      </c>
      <c r="D12" s="108" t="str">
        <f>'Loan Information'!C16</f>
        <v>SALARY LOAN</v>
      </c>
      <c r="E12" s="108"/>
      <c r="F12" s="108"/>
      <c r="G12" s="108"/>
    </row>
    <row r="14" spans="1:9" customHeight="1" ht="15.75">
      <c r="B14" s="104" t="s">
        <v>68</v>
      </c>
      <c r="C14" s="104"/>
      <c r="D14" s="104"/>
      <c r="E14" s="104"/>
      <c r="F14" s="104"/>
      <c r="G14" s="104"/>
      <c r="H14" s="104"/>
    </row>
    <row r="15" spans="1:9" customHeight="1" ht="15.75">
      <c r="B15" s="110" t="str">
        <f>'Loan Information'!C17</f>
        <v>MONTHLY</v>
      </c>
      <c r="C15" s="111"/>
      <c r="D15" s="111"/>
      <c r="E15" s="111"/>
      <c r="F15" s="111"/>
      <c r="G15" s="111"/>
      <c r="H15" s="112"/>
    </row>
    <row r="16" spans="1:9" customHeight="1" ht="15">
      <c r="B16" s="64"/>
      <c r="C16" s="65"/>
      <c r="D16" s="65"/>
      <c r="E16" s="65"/>
      <c r="F16" s="65"/>
      <c r="G16" s="65"/>
      <c r="H16" s="66"/>
    </row>
    <row r="17" spans="1:9" customHeight="1" ht="15">
      <c r="B17" s="67" t="s">
        <v>69</v>
      </c>
      <c r="C17" s="68"/>
      <c r="D17" s="116">
        <f>'Loan Information'!C27</f>
        <v>16666.66666666666788</v>
      </c>
      <c r="E17" s="116"/>
      <c r="F17" s="68"/>
      <c r="G17" s="68"/>
      <c r="H17" s="69"/>
    </row>
    <row r="18" spans="1:9" customHeight="1" ht="15">
      <c r="B18" s="67" t="s">
        <v>70</v>
      </c>
      <c r="C18" s="68"/>
      <c r="D18" s="115">
        <f>'Loan Information'!C28</f>
        <v>6000</v>
      </c>
      <c r="E18" s="115"/>
      <c r="F18" s="68"/>
      <c r="G18" s="68"/>
      <c r="H18" s="69"/>
    </row>
    <row r="19" spans="1:9" customHeight="1" ht="15">
      <c r="B19" s="67" t="s">
        <v>71</v>
      </c>
      <c r="C19" s="68"/>
      <c r="D19" s="115">
        <f>'Loan Information'!C29</f>
        <v>333.33333333333337</v>
      </c>
      <c r="E19" s="115"/>
      <c r="F19" s="68"/>
      <c r="G19" s="68"/>
      <c r="H19" s="69"/>
    </row>
    <row r="20" spans="1:9" customHeight="1" ht="15">
      <c r="B20" s="67" t="s">
        <v>72</v>
      </c>
      <c r="C20" s="68"/>
      <c r="D20" s="117">
        <f>'Loan Information'!C30</f>
        <v>23000</v>
      </c>
      <c r="E20" s="117"/>
      <c r="F20" s="68"/>
      <c r="G20" s="68"/>
      <c r="H20" s="69"/>
    </row>
    <row r="21" spans="1:9" customHeight="1" ht="15">
      <c r="B21" s="67"/>
      <c r="C21" s="68"/>
      <c r="D21" s="68"/>
      <c r="E21" s="68"/>
      <c r="F21" s="68"/>
      <c r="G21" s="68"/>
      <c r="H21" s="69"/>
    </row>
    <row r="22" spans="1:9" customHeight="1" ht="15.75">
      <c r="B22" s="67" t="s">
        <v>73</v>
      </c>
      <c r="C22" s="63"/>
      <c r="D22" s="63"/>
      <c r="E22" s="63"/>
      <c r="F22" s="68" t="s">
        <v>74</v>
      </c>
      <c r="G22" s="113"/>
      <c r="H22" s="114"/>
    </row>
    <row r="23" spans="1:9" customHeight="1" ht="15">
      <c r="B23" s="49"/>
      <c r="C23" s="44"/>
      <c r="D23" s="44"/>
      <c r="E23" s="44"/>
      <c r="F23" s="44"/>
      <c r="G23" s="44"/>
      <c r="H23" s="50"/>
    </row>
    <row r="25" spans="1:9" customHeight="1" ht="15">
      <c r="A25" t="s">
        <v>75</v>
      </c>
      <c r="F25" t="s">
        <v>76</v>
      </c>
    </row>
    <row r="27" spans="1:9" customHeight="1" ht="15">
      <c r="B27" s="106" t="str">
        <f>D9</f>
        <v>JANET O. SARCEDA</v>
      </c>
      <c r="C27" s="106"/>
      <c r="D27" s="106"/>
      <c r="G27" s="106" t="str">
        <f>'Loan Information'!C18</f>
        <v>ANNABELLE M. AMORA</v>
      </c>
      <c r="H27" s="106"/>
      <c r="I27" s="106"/>
    </row>
    <row r="28" spans="1:9" customHeight="1" ht="15">
      <c r="B28" s="107" t="s">
        <v>77</v>
      </c>
      <c r="C28" s="107"/>
      <c r="D28" s="107"/>
      <c r="G28" s="118" t="s">
        <v>23</v>
      </c>
      <c r="H28" s="118"/>
      <c r="I28" s="118"/>
    </row>
    <row r="30" spans="1:9" customHeight="1" ht="15">
      <c r="A30" s="106"/>
      <c r="B30" s="106"/>
      <c r="C30" s="106"/>
      <c r="D30" s="106"/>
      <c r="E30" s="106"/>
      <c r="F30" s="106"/>
      <c r="G30" s="106"/>
      <c r="H30" s="106"/>
      <c r="I30" s="106"/>
    </row>
    <row r="37" spans="1:9" customHeight="1" ht="15">
      <c r="G37" s="106"/>
      <c r="H37" s="106"/>
      <c r="I37" s="106"/>
    </row>
    <row r="38" spans="1:9" customHeight="1" ht="15">
      <c r="G38" s="107" t="s">
        <v>63</v>
      </c>
      <c r="H38" s="107"/>
      <c r="I38" s="107"/>
    </row>
    <row r="40" spans="1:9" customHeight="1" ht="15.75">
      <c r="B40" s="104" t="s">
        <v>64</v>
      </c>
      <c r="C40" s="104"/>
      <c r="D40" s="104"/>
      <c r="E40" s="104"/>
      <c r="F40" s="104"/>
      <c r="G40" s="104"/>
      <c r="H40" s="104"/>
    </row>
    <row r="41" spans="1:9" customHeight="1" ht="15">
      <c r="A41" t="s">
        <v>65</v>
      </c>
      <c r="C41" s="61" t="s">
        <v>66</v>
      </c>
      <c r="D41" s="109" t="str">
        <f>D9</f>
        <v>JANET O. SARCEDA</v>
      </c>
      <c r="E41" s="109"/>
      <c r="F41" s="109"/>
      <c r="G41" s="109"/>
    </row>
    <row r="42" spans="1:9" customHeight="1" ht="15">
      <c r="A42" t="s">
        <v>7</v>
      </c>
      <c r="C42" s="62" t="s">
        <v>66</v>
      </c>
      <c r="D42" s="108" t="str">
        <f>D10</f>
        <v>P-1A POB, BAROBO, SDS</v>
      </c>
      <c r="E42" s="108"/>
      <c r="F42" s="108"/>
      <c r="G42" s="108"/>
    </row>
    <row r="43" spans="1:9" customHeight="1" ht="15">
      <c r="A43" t="s">
        <v>67</v>
      </c>
      <c r="C43" s="62" t="s">
        <v>66</v>
      </c>
      <c r="D43" s="72">
        <f>D11</f>
        <v>200000</v>
      </c>
      <c r="E43" s="72"/>
      <c r="F43" s="72"/>
      <c r="G43" s="72"/>
    </row>
    <row r="44" spans="1:9" customHeight="1" ht="15">
      <c r="A44" t="s">
        <v>19</v>
      </c>
      <c r="C44" s="62" t="s">
        <v>66</v>
      </c>
      <c r="D44" s="108" t="str">
        <f>D12</f>
        <v>SALARY LOAN</v>
      </c>
      <c r="E44" s="108"/>
      <c r="F44" s="108"/>
      <c r="G44" s="108"/>
    </row>
    <row r="46" spans="1:9" customHeight="1" ht="15.75">
      <c r="B46" s="104" t="s">
        <v>68</v>
      </c>
      <c r="C46" s="104"/>
      <c r="D46" s="104"/>
      <c r="E46" s="104"/>
      <c r="F46" s="104"/>
      <c r="G46" s="104"/>
      <c r="H46" s="104"/>
    </row>
    <row r="47" spans="1:9" customHeight="1" ht="15.75">
      <c r="B47" s="110" t="str">
        <f>B15</f>
        <v>MONTHLY</v>
      </c>
      <c r="C47" s="111"/>
      <c r="D47" s="111"/>
      <c r="E47" s="111"/>
      <c r="F47" s="111"/>
      <c r="G47" s="111"/>
      <c r="H47" s="112"/>
    </row>
    <row r="48" spans="1:9" customHeight="1" ht="15">
      <c r="B48" s="64"/>
      <c r="C48" s="65"/>
      <c r="D48" s="65"/>
      <c r="E48" s="65"/>
      <c r="F48" s="65"/>
      <c r="G48" s="65"/>
      <c r="H48" s="66"/>
    </row>
    <row r="49" spans="1:9" customHeight="1" ht="15">
      <c r="B49" s="67" t="s">
        <v>69</v>
      </c>
      <c r="C49" s="68"/>
      <c r="D49" s="116">
        <f>D17</f>
        <v>16666.66666666666788</v>
      </c>
      <c r="E49" s="116"/>
      <c r="F49" s="68"/>
      <c r="G49" s="68"/>
      <c r="H49" s="69"/>
    </row>
    <row r="50" spans="1:9" customHeight="1" ht="15">
      <c r="B50" s="67" t="s">
        <v>70</v>
      </c>
      <c r="C50" s="68"/>
      <c r="D50" s="115">
        <f>D18</f>
        <v>6000</v>
      </c>
      <c r="E50" s="115"/>
      <c r="F50" s="68"/>
      <c r="G50" s="68"/>
      <c r="H50" s="69"/>
    </row>
    <row r="51" spans="1:9" customHeight="1" ht="15">
      <c r="B51" s="67" t="s">
        <v>71</v>
      </c>
      <c r="C51" s="68"/>
      <c r="D51" s="115">
        <f>D19</f>
        <v>333.33333333333337</v>
      </c>
      <c r="E51" s="115"/>
      <c r="F51" s="68"/>
      <c r="G51" s="68"/>
      <c r="H51" s="69"/>
    </row>
    <row r="52" spans="1:9" customHeight="1" ht="15">
      <c r="B52" s="67" t="s">
        <v>72</v>
      </c>
      <c r="C52" s="68"/>
      <c r="D52" s="117">
        <f>D20</f>
        <v>23000</v>
      </c>
      <c r="E52" s="117"/>
      <c r="F52" s="68"/>
      <c r="G52" s="68"/>
      <c r="H52" s="69"/>
    </row>
    <row r="53" spans="1:9" customHeight="1" ht="15">
      <c r="B53" s="67"/>
      <c r="C53" s="68"/>
      <c r="D53" s="68"/>
      <c r="E53" s="68"/>
      <c r="F53" s="68"/>
      <c r="G53" s="68"/>
      <c r="H53" s="69"/>
    </row>
    <row r="54" spans="1:9" customHeight="1" ht="15.75">
      <c r="B54" s="67" t="s">
        <v>73</v>
      </c>
      <c r="C54" s="63"/>
      <c r="D54" s="63"/>
      <c r="E54" s="63"/>
      <c r="F54" s="68" t="s">
        <v>74</v>
      </c>
      <c r="G54" s="113"/>
      <c r="H54" s="114"/>
    </row>
    <row r="55" spans="1:9" customHeight="1" ht="15">
      <c r="B55" s="49"/>
      <c r="C55" s="44"/>
      <c r="D55" s="44"/>
      <c r="E55" s="44"/>
      <c r="F55" s="44"/>
      <c r="G55" s="44"/>
      <c r="H55" s="50"/>
    </row>
    <row r="57" spans="1:9" customHeight="1" ht="15">
      <c r="A57" t="s">
        <v>75</v>
      </c>
      <c r="F57" t="s">
        <v>76</v>
      </c>
    </row>
    <row r="59" spans="1:9" customHeight="1" ht="15">
      <c r="B59" s="106" t="str">
        <f>D9</f>
        <v>JANET O. SARCEDA</v>
      </c>
      <c r="C59" s="106"/>
      <c r="D59" s="106"/>
      <c r="G59" s="106" t="str">
        <f>G27</f>
        <v>ANNABELLE M. AMORA</v>
      </c>
      <c r="H59" s="106"/>
      <c r="I59" s="106"/>
    </row>
    <row r="60" spans="1:9" customHeight="1" ht="15">
      <c r="B60" s="107" t="s">
        <v>77</v>
      </c>
      <c r="C60" s="107"/>
      <c r="D60" s="107"/>
      <c r="G60" s="118" t="s">
        <v>23</v>
      </c>
      <c r="H60" s="118"/>
      <c r="I60" s="118"/>
    </row>
  </sheetData>
  <sheetProtection password="CC6C" sheet="1" objects="0" scenarios="0" formatCells="1" formatColumns="1" formatRows="1" insertColumns="1" insertRows="1" insertHyperlinks="1" deleteColumns="1" deleteRows="1" sort="1" autoFilter="1" pivotTables="1" selectLockedCells="1" selectUnlockedCells="1"/>
  <mergeCells>
    <mergeCell ref="D49:E49"/>
    <mergeCell ref="D50:E50"/>
    <mergeCell ref="D51:E51"/>
    <mergeCell ref="D52:E52"/>
    <mergeCell ref="G54:H54"/>
    <mergeCell ref="B60:D60"/>
    <mergeCell ref="G60:I60"/>
    <mergeCell ref="B59:D59"/>
    <mergeCell ref="G59:I59"/>
    <mergeCell ref="D41:G41"/>
    <mergeCell ref="D42:G42"/>
    <mergeCell ref="D44:G44"/>
    <mergeCell ref="B46:H46"/>
    <mergeCell ref="B47:H47"/>
    <mergeCell ref="B28:D28"/>
    <mergeCell ref="G28:I28"/>
    <mergeCell ref="G37:I37"/>
    <mergeCell ref="G38:I38"/>
    <mergeCell ref="B40:H40"/>
    <mergeCell ref="A30:I30"/>
    <mergeCell ref="G27:I27"/>
    <mergeCell ref="B27:D27"/>
    <mergeCell ref="B14:H14"/>
    <mergeCell ref="B15:H15"/>
    <mergeCell ref="G22:H22"/>
    <mergeCell ref="D18:E18"/>
    <mergeCell ref="D17:E17"/>
    <mergeCell ref="D19:E19"/>
    <mergeCell ref="D20:E20"/>
    <mergeCell ref="G5:I5"/>
    <mergeCell ref="G6:I6"/>
    <mergeCell ref="B8:H8"/>
    <mergeCell ref="D12:G12"/>
    <mergeCell ref="D10:G10"/>
    <mergeCell ref="D9:G9"/>
  </mergeCells>
  <printOptions gridLines="false" gridLinesSet="true"/>
  <pageMargins left="0.7" right="0.7" top="0.75" bottom="0.75" header="0.3" footer="0.3"/>
  <pageSetup paperSize="5" orientation="portrai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60"/>
  <sheetViews>
    <sheetView tabSelected="0" workbookViewId="0" showGridLines="false" showRowColHeaders="1">
      <selection activeCell="F29" sqref="F29"/>
    </sheetView>
  </sheetViews>
  <sheetFormatPr customHeight="true" defaultRowHeight="15" outlineLevelRow="0" outlineLevelCol="0"/>
  <cols>
    <col min="1" max="1" width="3.7109375" customWidth="true" style="0"/>
    <col min="2" max="2" width="3.5703125" customWidth="true" style="0"/>
    <col min="3" max="3" width="8" customWidth="true" style="0"/>
    <col min="4" max="4" width="8.5703125" customWidth="true" style="0"/>
    <col min="5" max="5" width="8" customWidth="true" style="0"/>
    <col min="6" max="6" width="11.140625" customWidth="true" style="0"/>
    <col min="7" max="7" width="2.5703125" customWidth="true" style="0"/>
    <col min="8" max="8" width="8.7109375" customWidth="true" style="0"/>
    <col min="9" max="9" width="2.140625" customWidth="true" style="0"/>
    <col min="10" max="10" width="10.5703125" customWidth="true" style="0"/>
    <col min="11" max="11" width="2.42578125" customWidth="true" style="0"/>
    <col min="12" max="12" width="10" customWidth="true" style="0"/>
    <col min="13" max="13" width="4.140625" customWidth="true" style="0"/>
    <col min="14" max="14" width="14" customWidth="true" style="0"/>
    <col min="15" max="15" width="4.5703125" customWidth="true" style="0"/>
  </cols>
  <sheetData>
    <row r="4" spans="1:15" customHeight="1" ht="15">
      <c r="B4" s="123" t="s">
        <v>78</v>
      </c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</row>
    <row r="5" spans="1:15" customHeight="1" ht="15">
      <c r="D5" s="119" t="s">
        <v>79</v>
      </c>
      <c r="E5" s="119"/>
      <c r="F5" s="119"/>
      <c r="G5" s="119"/>
      <c r="H5" s="119"/>
      <c r="I5" s="119"/>
      <c r="J5" s="119"/>
      <c r="K5" s="119"/>
      <c r="L5" s="119"/>
      <c r="M5" s="119"/>
    </row>
    <row r="6" spans="1:15" customHeight="1" ht="15"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customHeight="1" ht="15">
      <c r="A7" s="14" t="s">
        <v>80</v>
      </c>
      <c r="B7" s="6"/>
      <c r="C7" s="6"/>
      <c r="D7" s="28" t="str">
        <f>'Loan Information'!C7</f>
        <v>JANET O. SARCEDA</v>
      </c>
      <c r="E7" s="11"/>
      <c r="F7" s="2"/>
      <c r="G7" s="2"/>
      <c r="H7" s="2"/>
      <c r="I7" s="2"/>
      <c r="J7" s="2"/>
      <c r="K7" s="2"/>
      <c r="L7" s="15" t="s">
        <v>81</v>
      </c>
      <c r="M7" s="2"/>
      <c r="N7" s="2"/>
      <c r="O7" s="6"/>
    </row>
    <row r="8" spans="1:15" customHeight="1" ht="15">
      <c r="A8" s="14" t="s">
        <v>82</v>
      </c>
      <c r="B8" s="6"/>
      <c r="C8" s="28" t="str">
        <f>'Loan Information'!C8</f>
        <v>P-1A POB, BAROBO, SDS</v>
      </c>
      <c r="D8" s="11"/>
      <c r="E8" s="2"/>
      <c r="F8" s="5"/>
      <c r="G8" s="5"/>
      <c r="H8" s="2"/>
      <c r="I8" s="2"/>
      <c r="J8" s="2"/>
      <c r="K8" s="2"/>
      <c r="L8" s="2"/>
      <c r="M8" s="2"/>
      <c r="N8" s="2"/>
      <c r="O8" s="6"/>
    </row>
    <row r="9" spans="1:15" customHeight="1" ht="15">
      <c r="A9" s="4">
        <v>1</v>
      </c>
      <c r="B9" s="7" t="s">
        <v>83</v>
      </c>
      <c r="C9" s="1"/>
      <c r="D9" s="1"/>
      <c r="E9" s="1"/>
      <c r="F9" s="2"/>
      <c r="G9" s="2"/>
      <c r="H9" s="5"/>
      <c r="I9" s="5"/>
      <c r="J9" s="5"/>
      <c r="K9" s="5"/>
      <c r="L9" s="5"/>
      <c r="M9" s="7" t="s">
        <v>84</v>
      </c>
      <c r="N9" s="38">
        <f>'Loan Information'!C9</f>
        <v>200000</v>
      </c>
      <c r="O9" s="7" t="s">
        <v>85</v>
      </c>
    </row>
    <row r="10" spans="1:15" customHeight="1" ht="15">
      <c r="A10" s="4">
        <v>2</v>
      </c>
      <c r="B10" s="7" t="s">
        <v>86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customHeight="1" ht="15">
      <c r="A11" s="4"/>
      <c r="B11" s="7"/>
      <c r="C11" s="7"/>
      <c r="D11" s="1"/>
      <c r="E11" s="1"/>
      <c r="F11" s="1"/>
      <c r="G11" s="1"/>
      <c r="H11" s="1"/>
      <c r="I11" s="1"/>
      <c r="J11" s="3" t="s">
        <v>87</v>
      </c>
      <c r="K11" s="3"/>
      <c r="L11" s="3" t="s">
        <v>88</v>
      </c>
      <c r="M11" s="8"/>
      <c r="N11" s="3"/>
      <c r="O11" s="1"/>
    </row>
    <row r="12" spans="1:15" customHeight="1" ht="15">
      <c r="A12" s="4"/>
      <c r="B12" s="7"/>
      <c r="C12" s="7"/>
      <c r="D12" s="1"/>
      <c r="E12" s="1"/>
      <c r="F12" s="1"/>
      <c r="G12" s="1"/>
      <c r="H12" s="1"/>
      <c r="I12" s="1"/>
      <c r="J12" s="3" t="s">
        <v>89</v>
      </c>
      <c r="K12" s="3"/>
      <c r="L12" s="3" t="s">
        <v>89</v>
      </c>
      <c r="M12" s="8"/>
      <c r="N12" s="3"/>
      <c r="O12" s="1"/>
    </row>
    <row r="13" spans="1:15" customHeight="1" ht="15">
      <c r="A13" s="4"/>
      <c r="B13" s="7"/>
      <c r="C13" s="7"/>
      <c r="D13" s="1"/>
      <c r="E13" s="1"/>
      <c r="F13" s="1"/>
      <c r="G13" s="1"/>
      <c r="H13" s="1"/>
      <c r="I13" s="1"/>
      <c r="J13" s="119" t="s">
        <v>90</v>
      </c>
      <c r="K13" s="119"/>
      <c r="L13" s="119"/>
      <c r="M13" s="8"/>
      <c r="N13" s="8"/>
      <c r="O13" s="1"/>
    </row>
    <row r="14" spans="1:15" customHeight="1" ht="15">
      <c r="A14" s="4" t="s">
        <v>91</v>
      </c>
      <c r="B14" s="1" t="s">
        <v>92</v>
      </c>
      <c r="C14" s="1"/>
      <c r="D14" s="36">
        <f>'Loan Information'!C10</f>
        <v>0.36</v>
      </c>
      <c r="E14" s="3" t="s">
        <v>93</v>
      </c>
      <c r="F14" s="27"/>
      <c r="G14" s="1" t="s">
        <v>94</v>
      </c>
      <c r="H14" s="27"/>
      <c r="I14" s="12" t="s">
        <v>95</v>
      </c>
      <c r="J14" s="33">
        <f>'Loan Information'!C13</f>
        <v>72000</v>
      </c>
      <c r="K14" s="12" t="s">
        <v>95</v>
      </c>
      <c r="L14" s="35"/>
      <c r="M14" s="1"/>
      <c r="N14" s="6"/>
      <c r="O14" s="1"/>
    </row>
    <row r="15" spans="1:15" customHeight="1" ht="15">
      <c r="A15" s="4"/>
      <c r="B15" s="1" t="s">
        <v>96</v>
      </c>
      <c r="C15" s="1" t="s">
        <v>97</v>
      </c>
      <c r="D15" s="1"/>
      <c r="E15" s="1" t="s">
        <v>98</v>
      </c>
      <c r="F15" s="1" t="s">
        <v>41</v>
      </c>
      <c r="G15" s="1"/>
      <c r="H15" s="1"/>
      <c r="I15" s="1"/>
      <c r="J15" s="5"/>
      <c r="K15" s="1"/>
      <c r="L15" s="5"/>
      <c r="M15" s="1"/>
      <c r="N15" s="1"/>
      <c r="O15" s="1"/>
    </row>
    <row r="16" spans="1:15" customHeight="1" ht="15">
      <c r="A16" s="4"/>
      <c r="B16" s="1" t="s">
        <v>96</v>
      </c>
      <c r="C16" s="1" t="s">
        <v>99</v>
      </c>
      <c r="D16" s="1"/>
      <c r="E16" s="1" t="s">
        <v>98</v>
      </c>
      <c r="F16" s="1" t="s">
        <v>100</v>
      </c>
      <c r="G16" s="1"/>
      <c r="H16" s="1"/>
      <c r="I16" s="1"/>
      <c r="J16" s="5"/>
      <c r="K16" s="1"/>
      <c r="L16" s="2"/>
      <c r="M16" s="1"/>
      <c r="N16" s="1"/>
      <c r="O16" s="1"/>
    </row>
    <row r="17" spans="1:15" customHeight="1" ht="15">
      <c r="A17" s="4"/>
      <c r="B17" s="1" t="s">
        <v>96</v>
      </c>
      <c r="C17" s="1" t="s">
        <v>101</v>
      </c>
      <c r="D17" s="1"/>
      <c r="E17" s="1" t="s">
        <v>98</v>
      </c>
      <c r="F17" s="1" t="s">
        <v>102</v>
      </c>
      <c r="G17" s="1"/>
      <c r="H17" s="1"/>
      <c r="I17" s="1"/>
      <c r="J17" s="5"/>
      <c r="K17" s="1"/>
      <c r="L17" s="2"/>
      <c r="M17" s="1"/>
      <c r="N17" s="1"/>
      <c r="O17" s="1"/>
    </row>
    <row r="18" spans="1:15" customHeight="1" ht="15">
      <c r="A18" s="4"/>
      <c r="B18" s="1" t="s">
        <v>96</v>
      </c>
      <c r="C18" s="1" t="s">
        <v>103</v>
      </c>
      <c r="D18" s="1"/>
      <c r="E18" s="1" t="s">
        <v>98</v>
      </c>
      <c r="F18" s="1" t="s">
        <v>104</v>
      </c>
      <c r="G18" s="1"/>
      <c r="H18" s="1"/>
      <c r="I18" s="1"/>
      <c r="J18" s="5"/>
      <c r="K18" s="1"/>
      <c r="L18" s="2"/>
      <c r="M18" s="1"/>
      <c r="N18" s="1"/>
      <c r="O18" s="1"/>
    </row>
    <row r="19" spans="1:15" customHeight="1" ht="15">
      <c r="A19" s="4" t="s">
        <v>105</v>
      </c>
      <c r="B19" s="1" t="s">
        <v>106</v>
      </c>
      <c r="C19" s="1"/>
      <c r="D19" s="1"/>
      <c r="E19" s="1" t="s">
        <v>107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customHeight="1" ht="15">
      <c r="A20" s="4" t="s">
        <v>108</v>
      </c>
      <c r="B20" s="1" t="s">
        <v>109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customHeight="1" ht="15">
      <c r="A21" s="4" t="s">
        <v>110</v>
      </c>
      <c r="B21" s="1" t="s">
        <v>111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customHeight="1" ht="15">
      <c r="A22" s="4" t="s">
        <v>112</v>
      </c>
      <c r="B22" s="1" t="s">
        <v>113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customHeight="1" ht="15">
      <c r="A23" s="4"/>
      <c r="B23" s="1" t="s">
        <v>114</v>
      </c>
      <c r="C23" s="1"/>
      <c r="D23" s="126" t="s">
        <v>115</v>
      </c>
      <c r="E23" s="126"/>
      <c r="F23" s="73">
        <f>'Loan Information'!C12</f>
        <v>0.05</v>
      </c>
      <c r="G23" s="1"/>
      <c r="H23" s="1"/>
      <c r="I23" s="12" t="s">
        <v>95</v>
      </c>
      <c r="J23" s="2"/>
      <c r="K23" s="12" t="s">
        <v>95</v>
      </c>
      <c r="L23" s="30">
        <f>'Loan Information'!C21</f>
        <v>10000</v>
      </c>
      <c r="M23" s="4" t="s">
        <v>95</v>
      </c>
      <c r="N23" s="35">
        <f>L23+L14</f>
        <v>10000</v>
      </c>
      <c r="O23" s="1"/>
    </row>
    <row r="24" spans="1:15" customHeight="1" ht="15">
      <c r="A24" s="4"/>
      <c r="B24" s="1"/>
      <c r="C24" s="1"/>
      <c r="D24" s="124"/>
      <c r="E24" s="125"/>
      <c r="F24" s="125"/>
      <c r="G24" s="1"/>
      <c r="H24" s="1"/>
      <c r="I24" s="12"/>
      <c r="J24" s="5"/>
      <c r="K24" s="12"/>
      <c r="L24" s="5"/>
      <c r="M24" s="1"/>
      <c r="N24" s="5"/>
      <c r="O24" s="1"/>
    </row>
    <row r="25" spans="1:15" customHeight="1" ht="15">
      <c r="A25" s="10" t="s">
        <v>116</v>
      </c>
      <c r="B25" s="1"/>
      <c r="C25" s="1"/>
      <c r="D25" s="1"/>
      <c r="E25" s="1"/>
      <c r="F25" s="1"/>
      <c r="G25" s="1"/>
      <c r="H25" s="1"/>
      <c r="I25" s="4"/>
      <c r="J25" s="13"/>
      <c r="K25" s="1"/>
      <c r="L25" s="13"/>
      <c r="M25" s="4" t="s">
        <v>95</v>
      </c>
      <c r="N25" s="37">
        <f>N24+N23</f>
        <v>10000</v>
      </c>
      <c r="O25" s="7" t="s">
        <v>117</v>
      </c>
    </row>
    <row r="26" spans="1:15" customHeight="1" ht="15">
      <c r="A26" s="4"/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1"/>
      <c r="N26" s="1"/>
      <c r="O26" s="1"/>
    </row>
    <row r="27" spans="1:15" customHeight="1" ht="15">
      <c r="A27" s="4">
        <v>3</v>
      </c>
      <c r="B27" s="7" t="s">
        <v>118</v>
      </c>
      <c r="C27" s="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customHeight="1" ht="15">
      <c r="A28" s="4"/>
      <c r="B28" s="1" t="s">
        <v>119</v>
      </c>
      <c r="C28" s="1"/>
      <c r="D28" s="1"/>
      <c r="E28" s="12" t="s">
        <v>95</v>
      </c>
      <c r="F28" s="30">
        <f>'Loan Information'!C22</f>
        <v>2400</v>
      </c>
      <c r="G28" s="1"/>
      <c r="H28" s="1"/>
      <c r="I28" s="1"/>
      <c r="J28" s="1"/>
      <c r="K28" s="1"/>
      <c r="L28" s="1"/>
      <c r="M28" s="1"/>
      <c r="N28" s="1"/>
      <c r="O28" s="1"/>
    </row>
    <row r="29" spans="1:15" customHeight="1" ht="15">
      <c r="A29" s="4"/>
      <c r="B29" s="1" t="s">
        <v>120</v>
      </c>
      <c r="C29" s="1"/>
      <c r="D29" s="1"/>
      <c r="E29" s="12" t="s">
        <v>95</v>
      </c>
      <c r="F29" s="31">
        <f>'Loan Information'!C23</f>
        <v>4000</v>
      </c>
      <c r="G29" s="1"/>
      <c r="H29" s="1"/>
      <c r="I29" s="1"/>
      <c r="J29" s="1"/>
      <c r="K29" s="1"/>
      <c r="L29" s="1"/>
      <c r="M29" s="1"/>
      <c r="N29" s="1"/>
      <c r="O29" s="1"/>
    </row>
    <row r="30" spans="1:15" customHeight="1" ht="15">
      <c r="A30" s="4"/>
      <c r="B30" s="1" t="s">
        <v>121</v>
      </c>
      <c r="C30" s="1"/>
      <c r="D30" s="1"/>
      <c r="E30" s="12" t="s">
        <v>95</v>
      </c>
      <c r="F30" s="31">
        <f>'Loan Information'!C24</f>
        <v>1500</v>
      </c>
      <c r="G30" s="1"/>
      <c r="H30" s="1"/>
      <c r="I30" s="1"/>
      <c r="J30" s="1"/>
      <c r="K30" s="1"/>
      <c r="L30" s="1"/>
      <c r="M30" s="1"/>
      <c r="N30" s="1"/>
      <c r="O30" s="1"/>
    </row>
    <row r="31" spans="1:15" customHeight="1" ht="15">
      <c r="A31" s="4"/>
      <c r="B31" s="1" t="s">
        <v>122</v>
      </c>
      <c r="C31" s="1"/>
      <c r="D31" s="1"/>
      <c r="E31" s="12" t="s">
        <v>95</v>
      </c>
      <c r="F31" s="31">
        <f>'Loan Information'!C25</f>
        <v>100</v>
      </c>
      <c r="G31" s="1"/>
      <c r="H31" s="1"/>
      <c r="I31" s="1"/>
      <c r="J31" s="1"/>
      <c r="K31" s="1"/>
      <c r="L31" s="1"/>
      <c r="M31" s="1"/>
      <c r="N31" s="1"/>
      <c r="O31" s="1"/>
    </row>
    <row r="32" spans="1:15" customHeight="1" ht="15">
      <c r="A32" s="4"/>
      <c r="B32" s="1" t="s">
        <v>123</v>
      </c>
      <c r="C32" s="1"/>
      <c r="D32" s="1"/>
      <c r="E32" s="12" t="s">
        <v>95</v>
      </c>
      <c r="F32" s="32"/>
      <c r="G32" s="1"/>
      <c r="H32" s="1"/>
      <c r="I32" s="1"/>
      <c r="J32" s="1"/>
      <c r="K32" s="1"/>
      <c r="L32" s="1"/>
      <c r="M32" s="1"/>
      <c r="N32" s="1"/>
      <c r="O32" s="1"/>
    </row>
    <row r="33" spans="1:15" customHeight="1" ht="15">
      <c r="A33" s="10" t="s">
        <v>124</v>
      </c>
      <c r="B33" s="1"/>
      <c r="C33" s="1"/>
      <c r="D33" s="1"/>
      <c r="E33" s="1"/>
      <c r="F33" s="1"/>
      <c r="G33" s="1"/>
      <c r="H33" s="1"/>
      <c r="I33" s="4" t="s">
        <v>95</v>
      </c>
      <c r="J33" s="2"/>
      <c r="K33" s="1"/>
      <c r="L33" s="30">
        <f>F32+F31+F30+F29+F28</f>
        <v>8000</v>
      </c>
      <c r="M33" s="4" t="s">
        <v>95</v>
      </c>
      <c r="N33" s="33">
        <f>F32+F31+F30+F29+F28</f>
        <v>8000</v>
      </c>
      <c r="O33" s="7" t="s">
        <v>125</v>
      </c>
    </row>
    <row r="34" spans="1:15" customHeight="1" ht="15">
      <c r="A34" s="4">
        <v>4</v>
      </c>
      <c r="B34" s="1" t="s">
        <v>126</v>
      </c>
      <c r="C34" s="1"/>
      <c r="D34" s="1"/>
      <c r="E34" s="1"/>
      <c r="F34" s="1"/>
      <c r="G34" s="1"/>
      <c r="H34" s="1"/>
      <c r="I34" s="1"/>
      <c r="J34" s="1"/>
      <c r="K34" s="1"/>
      <c r="L34" s="13"/>
      <c r="M34" s="4" t="s">
        <v>95</v>
      </c>
      <c r="N34" s="29">
        <f>N25+N33</f>
        <v>18000</v>
      </c>
      <c r="O34" s="7" t="s">
        <v>127</v>
      </c>
    </row>
    <row r="35" spans="1:15" customHeight="1" ht="15">
      <c r="A35" s="4">
        <v>5</v>
      </c>
      <c r="B35" s="1" t="s">
        <v>128</v>
      </c>
      <c r="C35" s="1"/>
      <c r="D35" s="1"/>
      <c r="E35" s="1"/>
      <c r="F35" s="1"/>
      <c r="G35" s="1"/>
      <c r="H35" s="1"/>
      <c r="I35" s="1"/>
      <c r="J35" s="1"/>
      <c r="K35" s="1"/>
      <c r="L35" s="6"/>
      <c r="M35" s="4" t="s">
        <v>95</v>
      </c>
      <c r="N35" s="38">
        <f>N9-N34</f>
        <v>182000</v>
      </c>
      <c r="O35" s="7" t="s">
        <v>129</v>
      </c>
    </row>
    <row r="36" spans="1:15" customHeight="1" ht="15">
      <c r="A36" s="4">
        <v>6</v>
      </c>
      <c r="B36" s="1" t="s">
        <v>130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customHeight="1" ht="15">
      <c r="A37" s="4"/>
      <c r="B37" s="1" t="s">
        <v>131</v>
      </c>
      <c r="C37" s="1"/>
      <c r="D37" s="1"/>
      <c r="E37" s="1"/>
      <c r="F37" s="1"/>
      <c r="G37" s="1"/>
      <c r="H37" s="1"/>
      <c r="I37" s="1"/>
      <c r="J37" s="1"/>
      <c r="K37" s="1"/>
      <c r="L37" s="6"/>
      <c r="M37" s="1" t="s">
        <v>132</v>
      </c>
      <c r="N37" s="1"/>
      <c r="O37" s="1"/>
    </row>
    <row r="38" spans="1:15" customHeight="1" ht="15">
      <c r="A38" s="4">
        <v>7</v>
      </c>
      <c r="B38" s="1" t="s">
        <v>133</v>
      </c>
      <c r="C38" s="1"/>
      <c r="D38" s="1"/>
      <c r="E38" s="6"/>
      <c r="F38" s="2"/>
      <c r="G38" s="9" t="s">
        <v>134</v>
      </c>
      <c r="H38" s="1"/>
      <c r="I38" s="1"/>
      <c r="J38" s="1"/>
      <c r="K38" s="1"/>
      <c r="L38" s="1"/>
      <c r="M38" s="1"/>
      <c r="N38" s="1"/>
      <c r="O38" s="1"/>
    </row>
    <row r="39" spans="1:15" customHeight="1" ht="15">
      <c r="A39" s="4">
        <v>8</v>
      </c>
      <c r="B39" s="1" t="s">
        <v>135</v>
      </c>
      <c r="C39" s="1"/>
      <c r="D39" s="1"/>
      <c r="E39" s="6"/>
      <c r="F39" s="13"/>
      <c r="G39" s="1"/>
      <c r="H39" s="1"/>
      <c r="I39" s="1"/>
      <c r="J39" s="1"/>
      <c r="K39" s="1"/>
      <c r="L39" s="1"/>
      <c r="M39" s="1"/>
      <c r="N39" s="1"/>
      <c r="O39" s="1"/>
    </row>
    <row r="40" spans="1:15" customHeight="1" ht="15">
      <c r="A40" s="4"/>
      <c r="B40" s="1" t="s">
        <v>136</v>
      </c>
      <c r="C40" s="1"/>
      <c r="D40" s="1"/>
      <c r="E40" s="4" t="s">
        <v>95</v>
      </c>
      <c r="F40" s="2"/>
      <c r="G40" s="4"/>
      <c r="H40" s="6"/>
      <c r="I40" s="9"/>
      <c r="J40" s="1"/>
      <c r="K40" s="1"/>
      <c r="L40" s="1"/>
      <c r="M40" s="1"/>
      <c r="N40" s="1"/>
      <c r="O40" s="1"/>
    </row>
    <row r="41" spans="1:15" customHeight="1" ht="15">
      <c r="A41" s="4"/>
      <c r="B41" s="1" t="s">
        <v>137</v>
      </c>
      <c r="C41" s="1"/>
      <c r="D41" s="1"/>
      <c r="E41" s="4" t="s">
        <v>95</v>
      </c>
      <c r="F41" s="37">
        <f>'Loan Information'!C30</f>
        <v>23000</v>
      </c>
      <c r="G41" s="127" t="str">
        <f>'Loan Information'!C17</f>
        <v>MONTHLY</v>
      </c>
      <c r="H41" s="127"/>
      <c r="I41" s="1"/>
      <c r="J41" s="1"/>
      <c r="K41" s="1"/>
      <c r="L41" s="1"/>
      <c r="M41" s="1"/>
      <c r="N41" s="1"/>
      <c r="O41" s="1"/>
    </row>
    <row r="42" spans="1:15" customHeight="1" ht="15">
      <c r="A42" s="4"/>
      <c r="B42" s="9" t="s">
        <v>138</v>
      </c>
      <c r="C42" s="1"/>
      <c r="D42" s="34">
        <f>'Loan Information'!C11</f>
        <v>12</v>
      </c>
      <c r="E42" s="1" t="s">
        <v>139</v>
      </c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customHeight="1" ht="15">
      <c r="A43" s="4">
        <v>9</v>
      </c>
      <c r="B43" s="1" t="s">
        <v>140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customHeight="1" ht="15">
      <c r="A44" s="4"/>
      <c r="B44" s="1" t="s">
        <v>141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customHeight="1" ht="15">
      <c r="A45" s="4"/>
      <c r="B45" s="1" t="s">
        <v>98</v>
      </c>
      <c r="C45" s="1"/>
      <c r="D45" s="1" t="s">
        <v>142</v>
      </c>
      <c r="E45" s="1" t="s">
        <v>98</v>
      </c>
      <c r="F45" s="1" t="s">
        <v>143</v>
      </c>
      <c r="G45" s="1" t="s">
        <v>144</v>
      </c>
      <c r="H45" s="1" t="s">
        <v>145</v>
      </c>
      <c r="I45" s="1"/>
      <c r="J45" s="1"/>
      <c r="K45" s="1"/>
      <c r="L45" s="1"/>
      <c r="M45" s="1"/>
      <c r="N45" s="1"/>
      <c r="O45" s="1"/>
    </row>
    <row r="46" spans="1:15" customHeight="1" ht="15">
      <c r="A46" s="4"/>
      <c r="B46" s="1" t="s">
        <v>98</v>
      </c>
      <c r="C46" s="1"/>
      <c r="D46" s="1" t="s">
        <v>146</v>
      </c>
      <c r="E46" s="1" t="s">
        <v>98</v>
      </c>
      <c r="F46" s="1" t="s">
        <v>147</v>
      </c>
      <c r="G46" s="1"/>
      <c r="H46" s="1"/>
      <c r="I46" s="1"/>
      <c r="J46" s="1"/>
      <c r="K46" s="1"/>
      <c r="L46" s="1"/>
      <c r="M46" s="1"/>
      <c r="N46" s="1"/>
      <c r="O46" s="1"/>
    </row>
    <row r="47" spans="1:15" customHeight="1" ht="15">
      <c r="A47" s="4">
        <v>10</v>
      </c>
      <c r="B47" s="1" t="s">
        <v>148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customHeight="1" ht="15">
      <c r="A48" s="4"/>
      <c r="B48" s="2"/>
      <c r="C48" s="2"/>
      <c r="D48" s="2"/>
      <c r="E48" s="2"/>
      <c r="F48" s="1"/>
      <c r="G48" s="2"/>
      <c r="H48" s="2"/>
      <c r="I48" s="2"/>
      <c r="J48" s="2"/>
      <c r="K48" s="1"/>
      <c r="L48" s="1"/>
      <c r="M48" s="1"/>
      <c r="N48" s="1"/>
      <c r="O48" s="1"/>
    </row>
    <row r="49" spans="1:15" customHeight="1" ht="15">
      <c r="A49" s="4"/>
      <c r="B49" s="13"/>
      <c r="C49" s="13"/>
      <c r="D49" s="13"/>
      <c r="E49" s="13"/>
      <c r="F49" s="1"/>
      <c r="G49" s="6"/>
      <c r="H49" s="6"/>
      <c r="I49" s="6"/>
      <c r="J49" s="6"/>
      <c r="K49" s="1"/>
      <c r="L49" s="7" t="s">
        <v>149</v>
      </c>
      <c r="M49" s="1"/>
      <c r="N49" s="1"/>
      <c r="O49" s="1"/>
    </row>
    <row r="50" spans="1:15" customHeight="1" ht="15">
      <c r="A50" s="12"/>
      <c r="B50" s="6"/>
      <c r="C50" s="6"/>
      <c r="D50" s="6"/>
      <c r="E50" s="6"/>
      <c r="F50" s="6"/>
      <c r="G50" s="6"/>
      <c r="H50" s="6"/>
      <c r="I50" s="6"/>
      <c r="J50" s="6"/>
      <c r="K50" s="1"/>
      <c r="L50" s="122" t="str">
        <f>'Loan Information'!C14</f>
        <v>VELINA P. GAMUTAN</v>
      </c>
      <c r="M50" s="122"/>
      <c r="N50" s="122"/>
      <c r="O50" s="1"/>
    </row>
    <row r="51" spans="1:15" customHeight="1" ht="1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19" t="s">
        <v>150</v>
      </c>
      <c r="M51" s="119"/>
      <c r="N51" s="119"/>
      <c r="O51" s="1"/>
    </row>
    <row r="52" spans="1:15" customHeight="1" ht="1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20" t="str">
        <f>'Loan Information'!C15</f>
        <v>BOOKKEEPER</v>
      </c>
      <c r="M52" s="120"/>
      <c r="N52" s="120"/>
      <c r="O52" s="1"/>
    </row>
    <row r="53" spans="1:15" customHeight="1" ht="1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21" t="s">
        <v>17</v>
      </c>
      <c r="M53" s="121"/>
      <c r="N53" s="121"/>
      <c r="O53" s="1"/>
    </row>
    <row r="54" spans="1:15" customHeight="1" ht="15">
      <c r="A54" s="4"/>
      <c r="B54" s="1"/>
      <c r="C54" s="1" t="s">
        <v>151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customHeight="1" ht="15">
      <c r="A55" s="4"/>
      <c r="B55" s="1" t="s">
        <v>152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customHeight="1" ht="1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customHeight="1" ht="15">
      <c r="A57" s="4"/>
      <c r="B57" s="9" t="s">
        <v>153</v>
      </c>
      <c r="C57" s="9"/>
      <c r="D57" s="122"/>
      <c r="E57" s="122"/>
      <c r="F57" s="122"/>
      <c r="G57" s="1"/>
      <c r="H57" s="1"/>
      <c r="I57" s="1"/>
      <c r="J57" s="1"/>
      <c r="K57" s="1"/>
      <c r="L57" s="122" t="str">
        <f>'Loan Information'!C7</f>
        <v>JANET O. SARCEDA</v>
      </c>
      <c r="M57" s="122"/>
      <c r="N57" s="122"/>
      <c r="O57" s="1"/>
    </row>
    <row r="58" spans="1:15" customHeight="1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21" t="s">
        <v>154</v>
      </c>
      <c r="M58" s="121"/>
      <c r="N58" s="121"/>
      <c r="O58" s="1"/>
    </row>
    <row r="59" spans="1:15" customHeight="1" ht="15">
      <c r="B59" s="1" t="s">
        <v>155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5" customHeight="1" ht="1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B4:N4"/>
    <mergeCell ref="D5:M5"/>
    <mergeCell ref="J13:L13"/>
    <mergeCell ref="D24:F24"/>
    <mergeCell ref="L50:N50"/>
    <mergeCell ref="D23:E23"/>
    <mergeCell ref="G41:H41"/>
    <mergeCell ref="L51:N51"/>
    <mergeCell ref="L52:N52"/>
    <mergeCell ref="L53:N53"/>
    <mergeCell ref="L58:N58"/>
    <mergeCell ref="L57:N57"/>
    <mergeCell ref="D57:F57"/>
  </mergeCells>
  <printOptions gridLines="false" gridLinesSet="true"/>
  <pageMargins left="0.25" right="0.25" top="0.75" bottom="0.75" header="0.3" footer="0.3"/>
  <pageSetup paperSize="5" orientation="portrai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59"/>
  <sheetViews>
    <sheetView tabSelected="0" workbookViewId="0" showGridLines="false" showRowColHeaders="1">
      <selection activeCell="A12" sqref="A12:B12"/>
    </sheetView>
  </sheetViews>
  <sheetFormatPr customHeight="true" defaultRowHeight="15" outlineLevelRow="0" outlineLevelCol="0"/>
  <cols>
    <col min="1" max="1" width="6.28515625" customWidth="true" style="0"/>
    <col min="2" max="2" width="3.28515625" customWidth="true" style="0"/>
    <col min="3" max="3" width="14.7109375" customWidth="true" style="0"/>
    <col min="4" max="4" width="10.140625" customWidth="true" style="0"/>
    <col min="5" max="5" width="7.85546875" customWidth="true" style="0"/>
    <col min="6" max="6" width="7.5703125" customWidth="true" style="0"/>
    <col min="7" max="7" width="8.140625" customWidth="true" style="0"/>
    <col min="8" max="8" width="10.85546875" customWidth="true" style="0"/>
    <col min="9" max="9" width="2.42578125" customWidth="true" style="0"/>
    <col min="10" max="10" width="13.7109375" customWidth="true" style="0"/>
    <col min="11" max="11" width="2.7109375" customWidth="true" style="0"/>
    <col min="12" max="12" width="5.85546875" customWidth="true" style="0"/>
    <col min="13" max="13" width="7.85546875" customWidth="true" style="0"/>
  </cols>
  <sheetData>
    <row r="6" spans="1:13" customHeight="1" ht="19.5">
      <c r="D6" s="132" t="s">
        <v>156</v>
      </c>
      <c r="E6" s="132"/>
      <c r="F6" s="132"/>
      <c r="G6" s="132"/>
      <c r="H6" s="132"/>
    </row>
    <row r="7" spans="1:13" customHeight="1" ht="19.5">
      <c r="D7" s="74"/>
      <c r="E7" s="74"/>
      <c r="F7" s="74"/>
      <c r="G7" s="74"/>
      <c r="H7" s="74"/>
    </row>
    <row r="8" spans="1:13" customHeight="1" ht="15">
      <c r="A8" s="39"/>
      <c r="B8" s="39"/>
      <c r="C8" s="39"/>
      <c r="D8" s="39"/>
      <c r="E8" s="39"/>
      <c r="F8" s="39"/>
      <c r="G8" s="39"/>
      <c r="H8" s="39" t="s">
        <v>157</v>
      </c>
      <c r="I8" s="133"/>
      <c r="J8" s="133"/>
      <c r="K8" s="133"/>
      <c r="L8" s="44"/>
    </row>
    <row r="9" spans="1:13" customHeight="1" ht="15">
      <c r="A9" s="39"/>
      <c r="B9" s="39"/>
      <c r="C9" s="39"/>
      <c r="D9" s="39"/>
      <c r="E9" s="39"/>
      <c r="F9" s="39"/>
      <c r="G9" s="39"/>
      <c r="H9" s="39" t="s">
        <v>158</v>
      </c>
      <c r="I9" s="134"/>
      <c r="J9" s="134"/>
      <c r="K9" s="134"/>
      <c r="L9" s="81"/>
    </row>
    <row r="10" spans="1:13" customHeight="1" ht="15">
      <c r="A10" s="39"/>
      <c r="B10" s="39"/>
      <c r="C10" s="39"/>
      <c r="D10" s="39"/>
      <c r="E10" s="39"/>
      <c r="F10" s="39"/>
      <c r="G10" s="39"/>
      <c r="H10" s="39" t="s">
        <v>159</v>
      </c>
      <c r="I10" s="43" t="s">
        <v>95</v>
      </c>
      <c r="J10" s="47">
        <f>'Loan Information'!C9</f>
        <v>200000</v>
      </c>
      <c r="K10" s="46"/>
      <c r="L10" s="46"/>
    </row>
    <row r="11" spans="1:13" customHeight="1" ht="15">
      <c r="A11" s="39"/>
      <c r="B11" s="39"/>
      <c r="C11" s="39"/>
      <c r="D11" s="39"/>
      <c r="E11" s="39"/>
      <c r="F11" s="39"/>
      <c r="G11" s="39"/>
      <c r="H11" s="39"/>
      <c r="I11" s="43"/>
      <c r="J11" s="80"/>
      <c r="K11" s="45"/>
      <c r="L11" s="45"/>
    </row>
    <row r="12" spans="1:13" customHeight="1" ht="15">
      <c r="A12" s="133">
        <f>'Loan Information'!C36</f>
        <v>300</v>
      </c>
      <c r="B12" s="133"/>
      <c r="C12" s="39" t="s">
        <v>160</v>
      </c>
      <c r="D12" s="39"/>
      <c r="E12" s="39"/>
      <c r="F12" s="39"/>
      <c r="G12" s="39"/>
      <c r="H12" s="39"/>
      <c r="I12" s="39"/>
      <c r="J12" s="39"/>
      <c r="K12" s="39"/>
    </row>
    <row r="13" spans="1:13" customHeight="1" ht="15">
      <c r="A13" s="41" t="s">
        <v>161</v>
      </c>
      <c r="B13" s="39"/>
      <c r="C13" s="39"/>
      <c r="D13" s="133" t="str">
        <f>'Loan Information'!C37</f>
        <v>FIFTY THOUSAND PESOS ONLY.</v>
      </c>
      <c r="E13" s="133"/>
      <c r="F13" s="133"/>
      <c r="G13" s="133"/>
      <c r="H13" s="133"/>
      <c r="I13" s="39" t="s">
        <v>95</v>
      </c>
      <c r="J13" s="137">
        <f>'Loan Information'!C9</f>
        <v>200000</v>
      </c>
      <c r="K13" s="137"/>
      <c r="L13" s="137"/>
    </row>
    <row r="14" spans="1:13" customHeight="1" ht="15">
      <c r="A14" s="39" t="s">
        <v>162</v>
      </c>
      <c r="B14" s="39"/>
      <c r="C14" s="39"/>
      <c r="D14" s="39"/>
      <c r="E14" s="135" t="str">
        <f>'Loan Information'!C38</f>
        <v>TWENTY FOUR PERCENT (24%)</v>
      </c>
      <c r="F14" s="136"/>
      <c r="G14" s="136"/>
      <c r="H14" s="39" t="s">
        <v>163</v>
      </c>
      <c r="I14" s="39"/>
      <c r="J14" s="39"/>
      <c r="K14" s="39"/>
    </row>
    <row r="15" spans="1:13" customHeight="1" ht="15">
      <c r="A15" s="138">
        <f>'Loan Information'!C30</f>
        <v>23000</v>
      </c>
      <c r="B15" s="138"/>
      <c r="C15" s="39" t="s">
        <v>164</v>
      </c>
      <c r="D15" s="39"/>
      <c r="E15" s="48" t="str">
        <f>'Loan Information'!C39</f>
        <v>MONTHLY</v>
      </c>
      <c r="F15" s="40" t="s">
        <v>165</v>
      </c>
      <c r="G15" s="128"/>
      <c r="H15" s="128"/>
      <c r="I15" s="39" t="s">
        <v>166</v>
      </c>
      <c r="J15" s="51"/>
      <c r="K15" s="39" t="s">
        <v>167</v>
      </c>
      <c r="L15" s="60">
        <f>'Loan Information'!C40</f>
        <v>12</v>
      </c>
    </row>
    <row r="16" spans="1:13" customHeight="1" ht="15">
      <c r="A16" s="39" t="s">
        <v>168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</row>
    <row r="17" spans="1:13" customHeight="1" ht="9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</row>
    <row r="18" spans="1:13" customHeight="1" ht="15">
      <c r="A18" s="39" t="s">
        <v>169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</row>
    <row r="19" spans="1:13" customHeight="1" ht="15">
      <c r="A19" s="39" t="s">
        <v>170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</row>
    <row r="20" spans="1:13" customHeight="1" ht="9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</row>
    <row r="21" spans="1:13" customHeight="1" ht="15">
      <c r="A21" s="39" t="s">
        <v>171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2" spans="1:13" customHeight="1" ht="15">
      <c r="A22" s="39" t="s">
        <v>172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</row>
    <row r="23" spans="1:13" customHeight="1" ht="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</row>
    <row r="24" spans="1:13" customHeight="1" ht="15">
      <c r="A24" s="39" t="s">
        <v>173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5" spans="1:13" customHeight="1" ht="15">
      <c r="A25" s="39" t="s">
        <v>174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3" customHeight="1" ht="15">
      <c r="A26" s="39" t="s">
        <v>175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spans="1:13" customHeight="1" ht="15">
      <c r="A27" s="39" t="s">
        <v>176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3" customHeight="1" ht="15">
      <c r="A28" s="39" t="s">
        <v>177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</row>
    <row r="29" spans="1:13" customHeight="1" ht="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3" customHeight="1" ht="15">
      <c r="A30" s="39" t="s">
        <v>178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1" spans="1:13" customHeight="1" ht="15">
      <c r="A31" s="39" t="s">
        <v>179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3" customHeight="1" ht="15">
      <c r="A32" s="39" t="s">
        <v>180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pans="1:13" customHeight="1" ht="9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3" customHeight="1" ht="15">
      <c r="A34" s="39" t="s">
        <v>181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3" customHeight="1" ht="15">
      <c r="A35" s="39" t="s">
        <v>182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</row>
    <row r="36" spans="1:13" customHeight="1" ht="15">
      <c r="A36" s="39" t="s">
        <v>183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</row>
    <row r="37" spans="1:13" customHeight="1" ht="15">
      <c r="A37" s="39" t="s">
        <v>184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</row>
    <row r="38" spans="1:13" customHeight="1" ht="9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</row>
    <row r="39" spans="1:13" customHeight="1" ht="15">
      <c r="A39" s="39" t="s">
        <v>185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</row>
    <row r="40" spans="1:13" customHeight="1" ht="15">
      <c r="A40" s="39" t="s">
        <v>186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</row>
    <row r="41" spans="1:13" customHeight="1" ht="15">
      <c r="A41" s="39" t="s">
        <v>187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</row>
    <row r="42" spans="1:13" customHeight="1" ht="15">
      <c r="A42" s="39" t="s">
        <v>188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</row>
    <row r="43" spans="1:13" customHeight="1" ht="15">
      <c r="A43" s="39" t="s">
        <v>189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</row>
    <row r="44" spans="1:13" customHeight="1" ht="9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</row>
    <row r="45" spans="1:13" customHeight="1" ht="15">
      <c r="A45" s="39" t="s">
        <v>190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</row>
    <row r="46" spans="1:13" customHeight="1" ht="1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</row>
    <row r="47" spans="1:13" customHeight="1" ht="15.75">
      <c r="A47" s="129" t="s">
        <v>191</v>
      </c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</row>
    <row r="48" spans="1:13" customHeight="1" ht="15.75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</row>
    <row r="49" spans="1:13" customHeight="1" ht="15.75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</row>
    <row r="50" spans="1:13" customHeight="1" ht="15">
      <c r="A50" s="39"/>
      <c r="B50" s="128" t="str">
        <f>'Loan Information'!C7</f>
        <v>JANET O. SARCEDA</v>
      </c>
      <c r="C50" s="128"/>
      <c r="D50" s="39"/>
      <c r="E50" s="128" t="str">
        <f>'Loan Information'!C32</f>
        <v>ELMA C. ANTONIANO</v>
      </c>
      <c r="F50" s="128"/>
      <c r="G50" s="128"/>
      <c r="H50" s="39"/>
      <c r="I50" s="128" t="str">
        <f>'Loan Information'!C33</f>
        <v>CYRENE M. RONQUILLO</v>
      </c>
      <c r="J50" s="128"/>
      <c r="K50" s="128"/>
      <c r="L50" s="128"/>
    </row>
    <row r="51" spans="1:13" customHeight="1" ht="15">
      <c r="A51" s="39"/>
      <c r="B51" s="130" t="s">
        <v>192</v>
      </c>
      <c r="C51" s="130"/>
      <c r="D51" s="39"/>
      <c r="E51" s="130" t="s">
        <v>193</v>
      </c>
      <c r="F51" s="130"/>
      <c r="G51" s="130"/>
      <c r="H51" s="39"/>
      <c r="I51" s="130" t="s">
        <v>194</v>
      </c>
      <c r="J51" s="130"/>
      <c r="K51" s="130"/>
      <c r="L51" s="130"/>
    </row>
    <row r="52" spans="1:13" customHeight="1" ht="15">
      <c r="A52" s="39"/>
      <c r="B52" s="75"/>
      <c r="C52" s="75"/>
      <c r="D52" s="39"/>
      <c r="E52" s="75"/>
      <c r="F52" s="75"/>
      <c r="G52" s="75"/>
      <c r="H52" s="39"/>
      <c r="I52" s="75"/>
      <c r="J52" s="75"/>
      <c r="K52" s="75"/>
      <c r="L52" s="75"/>
    </row>
    <row r="53" spans="1:13" customHeight="1" ht="15">
      <c r="A53" s="39" t="s">
        <v>195</v>
      </c>
      <c r="B53" s="2"/>
      <c r="C53" s="82" t="str">
        <f>'Loan Information'!C8</f>
        <v>P-1A POB, BAROBO, SDS</v>
      </c>
      <c r="D53" s="52" t="s">
        <v>195</v>
      </c>
      <c r="E53" s="122" t="str">
        <f>'Loan Information'!C34</f>
        <v>P-4 POB, BAROBO, SDS</v>
      </c>
      <c r="F53" s="122"/>
      <c r="G53" s="122"/>
      <c r="H53" s="52" t="s">
        <v>195</v>
      </c>
      <c r="I53" s="122" t="str">
        <f>'Loan Information'!C35</f>
        <v>P-1A POB, BAROBO, SDS</v>
      </c>
      <c r="J53" s="122"/>
      <c r="K53" s="122"/>
      <c r="L53" s="122"/>
    </row>
    <row r="54" spans="1:13" customHeight="1" ht="15">
      <c r="A54" s="39"/>
      <c r="B54" s="6"/>
      <c r="C54" s="6"/>
      <c r="D54" s="52"/>
      <c r="E54" s="24"/>
      <c r="F54" s="24"/>
      <c r="G54" s="24"/>
      <c r="H54" s="52"/>
      <c r="I54" s="24"/>
      <c r="J54" s="24"/>
      <c r="K54" s="24"/>
      <c r="L54" s="24"/>
    </row>
    <row r="55" spans="1:13" customHeight="1" ht="15">
      <c r="A55" s="39"/>
      <c r="B55" s="39"/>
      <c r="C55" s="39"/>
      <c r="D55" s="39"/>
      <c r="E55" s="131" t="s">
        <v>196</v>
      </c>
      <c r="F55" s="131"/>
      <c r="G55" s="131"/>
      <c r="H55" s="39"/>
      <c r="I55" s="39"/>
      <c r="J55" s="39"/>
      <c r="K55" s="39"/>
    </row>
    <row r="56" spans="1:13" customHeight="1" ht="15">
      <c r="A56" s="39"/>
      <c r="B56" s="39"/>
      <c r="C56" s="39"/>
      <c r="D56" s="39"/>
      <c r="E56" s="75"/>
      <c r="F56" s="75"/>
      <c r="G56" s="75"/>
      <c r="H56" s="39"/>
      <c r="I56" s="39"/>
      <c r="J56" s="39"/>
      <c r="K56" s="39"/>
    </row>
    <row r="57" spans="1:13" customHeight="1" ht="15">
      <c r="A57" s="39"/>
      <c r="B57" s="39"/>
      <c r="C57" s="39"/>
      <c r="D57" s="39"/>
      <c r="E57" s="75"/>
      <c r="F57" s="75"/>
      <c r="G57" s="75"/>
      <c r="H57" s="39"/>
      <c r="I57" s="39"/>
      <c r="J57" s="39"/>
      <c r="K57" s="39"/>
    </row>
    <row r="58" spans="1:13" customHeight="1" ht="15">
      <c r="A58" s="39"/>
      <c r="B58" s="128" t="str">
        <f>'Loan Information'!C42</f>
        <v>KEYRIN B.LULAB</v>
      </c>
      <c r="C58" s="128"/>
      <c r="D58" s="128"/>
      <c r="E58" s="39"/>
      <c r="F58" s="39"/>
      <c r="G58" s="39"/>
      <c r="H58" s="128" t="str">
        <f>'Loan Information'!C43</f>
        <v>ANNABELLE M. AMORA</v>
      </c>
      <c r="I58" s="128"/>
      <c r="J58" s="128"/>
      <c r="K58" s="128"/>
      <c r="L58" s="128"/>
    </row>
    <row r="59" spans="1:13" customHeight="1" ht="1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</row>
  </sheetData>
  <sheetProtection password="CC6C" sheet="1"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2:B12"/>
    <mergeCell ref="E14:G14"/>
    <mergeCell ref="D13:H13"/>
    <mergeCell ref="J13:L13"/>
    <mergeCell ref="B51:C51"/>
    <mergeCell ref="E51:G51"/>
    <mergeCell ref="A15:B15"/>
    <mergeCell ref="D6:H6"/>
    <mergeCell ref="I8:K8"/>
    <mergeCell ref="I9:K9"/>
    <mergeCell ref="I50:L50"/>
    <mergeCell ref="G15:H15"/>
    <mergeCell ref="E53:G53"/>
    <mergeCell ref="E50:G50"/>
    <mergeCell ref="H58:L58"/>
    <mergeCell ref="A47:M47"/>
    <mergeCell ref="I51:L51"/>
    <mergeCell ref="B50:C50"/>
    <mergeCell ref="B58:D58"/>
    <mergeCell ref="E55:G55"/>
    <mergeCell ref="I53:L53"/>
  </mergeCells>
  <printOptions gridLines="false" gridLinesSet="true"/>
  <pageMargins left="0.23622047244094" right="0.23622047244094" top="0.74803149606299" bottom="0.74803149606299" header="0.31496062992126" footer="0.31496062992126"/>
  <pageSetup paperSize="5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 Information</vt:lpstr>
      <vt:lpstr>Plan of Payment</vt:lpstr>
      <vt:lpstr>Disclosure Statement</vt:lpstr>
      <vt:lpstr>Promissory Note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mohammad samarah</cp:lastModifiedBy>
  <dcterms:created xsi:type="dcterms:W3CDTF">2019-05-30T02:54:15+00:00</dcterms:created>
  <dcterms:modified xsi:type="dcterms:W3CDTF">2026-01-21T07:18:00+00:00</dcterms:modified>
  <dc:title>Untitled Spreadsheet</dc:title>
  <dc:description/>
  <dc:subject/>
  <cp:keywords/>
  <cp:category/>
</cp:coreProperties>
</file>